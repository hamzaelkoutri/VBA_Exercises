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mzaelkoutri/Desktop/"/>
    </mc:Choice>
  </mc:AlternateContent>
  <xr:revisionPtr revIDLastSave="0" documentId="13_ncr:1_{5554E35B-EF5E-EE42-BE3E-842085CEEBE5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Trajectoires" sheetId="1" r:id="rId1"/>
    <sheet name="Graphique1" sheetId="3" r:id="rId2"/>
    <sheet name="DOC" sheetId="2" r:id="rId3"/>
    <sheet name="Lookback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4" l="1" a="1"/>
  <c r="C11" i="4" a="1"/>
  <c r="A32" i="1"/>
  <c r="A15" i="1"/>
  <c r="I9" i="1"/>
  <c r="D9" i="1"/>
  <c r="A35" i="1"/>
  <c r="A12" i="1"/>
  <c r="A18" i="1"/>
  <c r="A24" i="1"/>
  <c r="H9" i="1"/>
  <c r="E9" i="1"/>
  <c r="A30" i="1"/>
  <c r="A20" i="1"/>
  <c r="A39" i="1"/>
  <c r="A25" i="1"/>
  <c r="A19" i="1"/>
  <c r="A27" i="1"/>
  <c r="A17" i="1"/>
  <c r="F9" i="1"/>
  <c r="F10" i="1" s="1"/>
  <c r="A11" i="1"/>
  <c r="A26" i="1"/>
  <c r="A13" i="1"/>
  <c r="A28" i="1"/>
  <c r="A4" i="1"/>
  <c r="A2" i="1"/>
  <c r="L9" i="1"/>
  <c r="G9" i="1"/>
  <c r="A34" i="1"/>
  <c r="A9" i="1"/>
  <c r="A29" i="1"/>
  <c r="A38" i="1"/>
  <c r="G10" i="1"/>
  <c r="I10" i="1"/>
  <c r="A23" i="1"/>
  <c r="A36" i="1"/>
  <c r="A22" i="1"/>
  <c r="A8" i="1"/>
  <c r="A31" i="1"/>
  <c r="M9" i="1"/>
  <c r="A3" i="1"/>
  <c r="A6" i="1"/>
  <c r="A1" i="1"/>
  <c r="E10" i="1"/>
  <c r="E11" i="1" s="1"/>
  <c r="E12" i="1" s="1"/>
  <c r="G11" i="1"/>
  <c r="G12" i="1"/>
  <c r="H10" i="1"/>
  <c r="H11" i="1" s="1"/>
  <c r="F11" i="1"/>
  <c r="A14" i="1"/>
  <c r="A21" i="1"/>
  <c r="A16" i="1"/>
  <c r="D10" i="1"/>
  <c r="D11" i="1" s="1"/>
  <c r="J9" i="1"/>
  <c r="G13" i="1"/>
  <c r="H12" i="1"/>
  <c r="A7" i="1"/>
  <c r="K9" i="1"/>
  <c r="K10" i="1" s="1"/>
  <c r="A37" i="1"/>
  <c r="G14" i="1"/>
  <c r="A10" i="1"/>
  <c r="A33" i="1"/>
  <c r="A5" i="1"/>
  <c r="C11" i="2"/>
  <c r="C14" i="2"/>
  <c r="C10" i="4" l="1"/>
  <c r="C11" i="4"/>
  <c r="G15" i="1"/>
  <c r="I11" i="1"/>
  <c r="K11" i="1"/>
  <c r="K12" i="1" s="1"/>
  <c r="L10" i="1"/>
  <c r="L11" i="1" s="1"/>
  <c r="H13" i="1"/>
  <c r="J10" i="1"/>
  <c r="J11" i="1" s="1"/>
  <c r="J12" i="1" s="1"/>
  <c r="E13" i="1"/>
  <c r="D12" i="1"/>
  <c r="M10" i="1"/>
  <c r="M11" i="1" s="1"/>
  <c r="F12" i="1"/>
  <c r="F13" i="1" s="1"/>
  <c r="F14" i="1"/>
  <c r="F15" i="1" s="1"/>
  <c r="F16" i="1" s="1"/>
  <c r="F17" i="1" s="1"/>
  <c r="I12" i="1"/>
  <c r="M12" i="1"/>
  <c r="M13" i="1" s="1"/>
  <c r="G16" i="1"/>
  <c r="G17" i="1" s="1"/>
  <c r="D13" i="1"/>
  <c r="K13" i="1"/>
  <c r="E14" i="1"/>
  <c r="E15" i="1" s="1"/>
  <c r="E16" i="1" s="1"/>
  <c r="E17" i="1" s="1"/>
  <c r="J13" i="1"/>
  <c r="L12" i="1"/>
  <c r="L13" i="1" s="1"/>
  <c r="L14" i="1" s="1"/>
  <c r="H14" i="1"/>
  <c r="H15" i="1" s="1"/>
  <c r="H16" i="1"/>
  <c r="I13" i="1"/>
  <c r="L15" i="1"/>
  <c r="F18" i="1"/>
  <c r="J14" i="1"/>
  <c r="D14" i="1"/>
  <c r="E18" i="1"/>
  <c r="K14" i="1"/>
  <c r="G18" i="1"/>
  <c r="M14" i="1"/>
  <c r="M15" i="1"/>
  <c r="I14" i="1"/>
  <c r="I15" i="1" s="1"/>
  <c r="K15" i="1"/>
  <c r="G19" i="1"/>
  <c r="H17" i="1"/>
  <c r="E19" i="1"/>
  <c r="D15" i="1"/>
  <c r="J15" i="1"/>
  <c r="L16" i="1"/>
  <c r="L17" i="1" s="1"/>
  <c r="F19" i="1"/>
  <c r="F20" i="1"/>
  <c r="I16" i="1"/>
  <c r="K16" i="1"/>
  <c r="L18" i="1"/>
  <c r="M16" i="1"/>
  <c r="J16" i="1"/>
  <c r="G20" i="1"/>
  <c r="D16" i="1"/>
  <c r="E20" i="1"/>
  <c r="H18" i="1"/>
  <c r="H19" i="1"/>
  <c r="I17" i="1"/>
  <c r="F21" i="1"/>
  <c r="K17" i="1"/>
  <c r="E21" i="1"/>
  <c r="D17" i="1"/>
  <c r="G21" i="1"/>
  <c r="J17" i="1"/>
  <c r="M17" i="1"/>
  <c r="L19" i="1"/>
  <c r="L20" i="1"/>
  <c r="I18" i="1"/>
  <c r="M18" i="1"/>
  <c r="H20" i="1"/>
  <c r="J18" i="1"/>
  <c r="F22" i="1"/>
  <c r="G22" i="1"/>
  <c r="D18" i="1"/>
  <c r="E22" i="1"/>
  <c r="K18" i="1"/>
  <c r="K19" i="1"/>
  <c r="K20" i="1" s="1"/>
  <c r="I19" i="1"/>
  <c r="E23" i="1"/>
  <c r="L21" i="1"/>
  <c r="D19" i="1"/>
  <c r="J19" i="1"/>
  <c r="J20" i="1" s="1"/>
  <c r="G23" i="1"/>
  <c r="F23" i="1"/>
  <c r="H21" i="1"/>
  <c r="M19" i="1"/>
  <c r="M20" i="1"/>
  <c r="I20" i="1"/>
  <c r="H22" i="1"/>
  <c r="F24" i="1"/>
  <c r="F25" i="1" s="1"/>
  <c r="G24" i="1"/>
  <c r="K21" i="1"/>
  <c r="J21" i="1"/>
  <c r="D20" i="1"/>
  <c r="E24" i="1"/>
  <c r="E25" i="1" s="1"/>
  <c r="L22" i="1"/>
  <c r="L23" i="1"/>
  <c r="I21" i="1"/>
  <c r="G25" i="1"/>
  <c r="E26" i="1"/>
  <c r="M21" i="1"/>
  <c r="D21" i="1"/>
  <c r="J22" i="1"/>
  <c r="K22" i="1"/>
  <c r="H23" i="1"/>
  <c r="F26" i="1"/>
  <c r="F27" i="1"/>
  <c r="I22" i="1"/>
  <c r="H24" i="1"/>
  <c r="L24" i="1"/>
  <c r="L25" i="1" s="1"/>
  <c r="K23" i="1"/>
  <c r="J23" i="1"/>
  <c r="D22" i="1"/>
  <c r="M22" i="1"/>
  <c r="G26" i="1"/>
  <c r="E27" i="1"/>
  <c r="E28" i="1"/>
  <c r="I23" i="1"/>
  <c r="F28" i="1"/>
  <c r="G27" i="1"/>
  <c r="M23" i="1"/>
  <c r="H25" i="1"/>
  <c r="D23" i="1"/>
  <c r="J24" i="1"/>
  <c r="L26" i="1"/>
  <c r="K24" i="1"/>
  <c r="K25" i="1"/>
  <c r="I24" i="1"/>
  <c r="E29" i="1"/>
  <c r="L27" i="1"/>
  <c r="M24" i="1"/>
  <c r="M25" i="1" s="1"/>
  <c r="J25" i="1"/>
  <c r="F29" i="1"/>
  <c r="D24" i="1"/>
  <c r="H26" i="1"/>
  <c r="G28" i="1"/>
  <c r="G29" i="1"/>
  <c r="I25" i="1"/>
  <c r="M26" i="1"/>
  <c r="H27" i="1"/>
  <c r="K26" i="1"/>
  <c r="E30" i="1"/>
  <c r="D25" i="1"/>
  <c r="F30" i="1"/>
  <c r="J26" i="1"/>
  <c r="L28" i="1"/>
  <c r="L29" i="1"/>
  <c r="I26" i="1"/>
  <c r="J27" i="1"/>
  <c r="G30" i="1"/>
  <c r="F31" i="1"/>
  <c r="D26" i="1"/>
  <c r="E31" i="1"/>
  <c r="H28" i="1"/>
  <c r="K27" i="1"/>
  <c r="M27" i="1"/>
  <c r="M28" i="1"/>
  <c r="I27" i="1"/>
  <c r="K28" i="1"/>
  <c r="L30" i="1"/>
  <c r="H29" i="1"/>
  <c r="E32" i="1"/>
  <c r="E33" i="1" s="1"/>
  <c r="J28" i="1"/>
  <c r="D27" i="1"/>
  <c r="F32" i="1"/>
  <c r="F33" i="1" s="1"/>
  <c r="G31" i="1"/>
  <c r="G32" i="1"/>
  <c r="I28" i="1"/>
  <c r="F34" i="1"/>
  <c r="M29" i="1"/>
  <c r="D28" i="1"/>
  <c r="H30" i="1"/>
  <c r="J29" i="1"/>
  <c r="K29" i="1"/>
  <c r="E34" i="1"/>
  <c r="L31" i="1"/>
  <c r="L32" i="1"/>
  <c r="I29" i="1"/>
  <c r="M30" i="1"/>
  <c r="E35" i="1"/>
  <c r="G33" i="1"/>
  <c r="F35" i="1"/>
  <c r="K30" i="1"/>
  <c r="J30" i="1"/>
  <c r="H31" i="1"/>
  <c r="D29" i="1"/>
  <c r="D30" i="1"/>
  <c r="I30" i="1"/>
  <c r="H32" i="1"/>
  <c r="L33" i="1"/>
  <c r="J31" i="1"/>
  <c r="K31" i="1"/>
  <c r="F36" i="1"/>
  <c r="E36" i="1"/>
  <c r="G34" i="1"/>
  <c r="M31" i="1"/>
  <c r="M32" i="1"/>
  <c r="I31" i="1"/>
  <c r="G35" i="1"/>
  <c r="D31" i="1"/>
  <c r="E37" i="1"/>
  <c r="J32" i="1"/>
  <c r="F37" i="1"/>
  <c r="K32" i="1"/>
  <c r="L34" i="1"/>
  <c r="H33" i="1"/>
  <c r="H34" i="1"/>
  <c r="I32" i="1"/>
  <c r="E38" i="1"/>
  <c r="L35" i="1"/>
  <c r="M33" i="1"/>
  <c r="G36" i="1"/>
  <c r="K33" i="1"/>
  <c r="F38" i="1"/>
  <c r="J33" i="1"/>
  <c r="D32" i="1"/>
  <c r="D33" i="1"/>
  <c r="I33" i="1"/>
  <c r="J34" i="1"/>
  <c r="H35" i="1"/>
  <c r="F39" i="1"/>
  <c r="K34" i="1"/>
  <c r="G37" i="1"/>
  <c r="M34" i="1"/>
  <c r="L36" i="1"/>
  <c r="E39" i="1"/>
  <c r="E40" i="1"/>
  <c r="E41" i="1" s="1"/>
  <c r="I34" i="1"/>
  <c r="L37" i="1"/>
  <c r="D34" i="1"/>
  <c r="M35" i="1"/>
  <c r="J35" i="1"/>
  <c r="G38" i="1"/>
  <c r="K35" i="1"/>
  <c r="F40" i="1"/>
  <c r="F41" i="1" s="1"/>
  <c r="H36" i="1"/>
  <c r="H37" i="1"/>
  <c r="I35" i="1"/>
  <c r="E42" i="1"/>
  <c r="F42" i="1"/>
  <c r="K36" i="1"/>
  <c r="M36" i="1"/>
  <c r="G39" i="1"/>
  <c r="J36" i="1"/>
  <c r="L38" i="1"/>
  <c r="D35" i="1"/>
  <c r="D36" i="1"/>
  <c r="I36" i="1"/>
  <c r="H38" i="1"/>
  <c r="L39" i="1"/>
  <c r="J37" i="1"/>
  <c r="G40" i="1"/>
  <c r="E43" i="1"/>
  <c r="M37" i="1"/>
  <c r="K37" i="1"/>
  <c r="F43" i="1"/>
  <c r="F44" i="1"/>
  <c r="I37" i="1"/>
  <c r="D37" i="1"/>
  <c r="J38" i="1"/>
  <c r="K38" i="1"/>
  <c r="M38" i="1"/>
  <c r="E44" i="1"/>
  <c r="H39" i="1"/>
  <c r="G41" i="1"/>
  <c r="L40" i="1"/>
  <c r="L41" i="1"/>
  <c r="I38" i="1"/>
  <c r="G42" i="1"/>
  <c r="F45" i="1"/>
  <c r="H40" i="1"/>
  <c r="E45" i="1"/>
  <c r="M39" i="1"/>
  <c r="K39" i="1"/>
  <c r="J39" i="1"/>
  <c r="D38" i="1"/>
  <c r="D39" i="1"/>
  <c r="I39" i="1"/>
  <c r="L42" i="1"/>
  <c r="J40" i="1"/>
  <c r="K40" i="1"/>
  <c r="E46" i="1"/>
  <c r="M40" i="1"/>
  <c r="M41" i="1" s="1"/>
  <c r="F46" i="1"/>
  <c r="H41" i="1"/>
  <c r="G43" i="1"/>
  <c r="G44" i="1"/>
  <c r="I40" i="1"/>
  <c r="D40" i="1"/>
  <c r="H42" i="1"/>
  <c r="F47" i="1"/>
  <c r="M42" i="1"/>
  <c r="K41" i="1"/>
  <c r="E47" i="1"/>
  <c r="L43" i="1"/>
  <c r="J41" i="1"/>
  <c r="J42" i="1"/>
  <c r="I41" i="1"/>
  <c r="D41" i="1"/>
  <c r="L44" i="1"/>
  <c r="G45" i="1"/>
  <c r="E48" i="1"/>
  <c r="E49" i="1" s="1"/>
  <c r="F48" i="1"/>
  <c r="F49" i="1" s="1"/>
  <c r="K42" i="1"/>
  <c r="M43" i="1"/>
  <c r="H43" i="1"/>
  <c r="H44" i="1"/>
  <c r="I42" i="1"/>
  <c r="F50" i="1"/>
  <c r="M44" i="1"/>
  <c r="J43" i="1"/>
  <c r="D42" i="1"/>
  <c r="K43" i="1"/>
  <c r="E50" i="1"/>
  <c r="L45" i="1"/>
  <c r="G46" i="1"/>
  <c r="G47" i="1"/>
  <c r="I43" i="1"/>
  <c r="L46" i="1"/>
  <c r="H45" i="1"/>
  <c r="F51" i="1"/>
  <c r="E51" i="1"/>
  <c r="K44" i="1"/>
  <c r="D43" i="1"/>
  <c r="J44" i="1"/>
  <c r="M45" i="1"/>
  <c r="M46" i="1"/>
  <c r="J45" i="1"/>
  <c r="D44" i="1"/>
  <c r="I44" i="1"/>
  <c r="K45" i="1"/>
  <c r="F52" i="1"/>
  <c r="E52" i="1"/>
  <c r="L47" i="1"/>
  <c r="G48" i="1"/>
  <c r="G49" i="1" s="1"/>
  <c r="H46" i="1"/>
  <c r="H47" i="1"/>
  <c r="J46" i="1"/>
  <c r="M47" i="1"/>
  <c r="K46" i="1"/>
  <c r="G50" i="1"/>
  <c r="E53" i="1"/>
  <c r="F53" i="1"/>
  <c r="I45" i="1"/>
  <c r="D45" i="1"/>
  <c r="L48" i="1"/>
  <c r="L49" i="1"/>
  <c r="J47" i="1"/>
  <c r="D46" i="1"/>
  <c r="H48" i="1"/>
  <c r="I46" i="1"/>
  <c r="M48" i="1"/>
  <c r="F54" i="1"/>
  <c r="K47" i="1"/>
  <c r="E54" i="1"/>
  <c r="G51" i="1"/>
  <c r="G52" i="1"/>
  <c r="J48" i="1"/>
  <c r="L50" i="1"/>
  <c r="M49" i="1"/>
  <c r="E55" i="1"/>
  <c r="H49" i="1"/>
  <c r="K48" i="1"/>
  <c r="F55" i="1"/>
  <c r="I47" i="1"/>
  <c r="D47" i="1"/>
  <c r="D48" i="1"/>
  <c r="J49" i="1"/>
  <c r="I48" i="1"/>
  <c r="G53" i="1"/>
  <c r="F56" i="1"/>
  <c r="F57" i="1" s="1"/>
  <c r="E56" i="1"/>
  <c r="E57" i="1" s="1"/>
  <c r="L51" i="1"/>
  <c r="K49" i="1"/>
  <c r="H50" i="1"/>
  <c r="M50" i="1"/>
  <c r="M51" i="1"/>
  <c r="J50" i="1"/>
  <c r="D49" i="1"/>
  <c r="I49" i="1"/>
  <c r="H51" i="1"/>
  <c r="G54" i="1"/>
  <c r="K50" i="1"/>
  <c r="L52" i="1"/>
  <c r="E58" i="1"/>
  <c r="F58" i="1"/>
  <c r="F59" i="1"/>
  <c r="J51" i="1"/>
  <c r="M52" i="1"/>
  <c r="E59" i="1"/>
  <c r="L53" i="1"/>
  <c r="K51" i="1"/>
  <c r="G55" i="1"/>
  <c r="H52" i="1"/>
  <c r="I50" i="1"/>
  <c r="D50" i="1"/>
  <c r="D51" i="1"/>
  <c r="J52" i="1"/>
  <c r="F60" i="1"/>
  <c r="I51" i="1"/>
  <c r="H53" i="1"/>
  <c r="K52" i="1"/>
  <c r="L54" i="1"/>
  <c r="G56" i="1"/>
  <c r="G57" i="1" s="1"/>
  <c r="E60" i="1"/>
  <c r="M53" i="1"/>
  <c r="M54" i="1"/>
  <c r="E61" i="1"/>
  <c r="D52" i="1"/>
  <c r="G58" i="1"/>
  <c r="H54" i="1"/>
  <c r="L55" i="1"/>
  <c r="K53" i="1"/>
  <c r="I52" i="1"/>
  <c r="J53" i="1"/>
  <c r="F61" i="1"/>
  <c r="F62" i="1"/>
  <c r="E62" i="1"/>
  <c r="J54" i="1"/>
  <c r="M55" i="1"/>
  <c r="G59" i="1"/>
  <c r="I53" i="1"/>
  <c r="K54" i="1"/>
  <c r="D53" i="1"/>
  <c r="L56" i="1"/>
  <c r="H55" i="1"/>
  <c r="H56" i="1"/>
  <c r="E63" i="1"/>
  <c r="F63" i="1"/>
  <c r="L57" i="1"/>
  <c r="J55" i="1"/>
  <c r="D54" i="1"/>
  <c r="K55" i="1"/>
  <c r="M56" i="1"/>
  <c r="I54" i="1"/>
  <c r="G60" i="1"/>
  <c r="G61" i="1"/>
  <c r="E64" i="1"/>
  <c r="E65" i="1" s="1"/>
  <c r="F64" i="1"/>
  <c r="F65" i="1" s="1"/>
  <c r="I55" i="1"/>
  <c r="H57" i="1"/>
  <c r="M57" i="1"/>
  <c r="K56" i="1"/>
  <c r="D55" i="1"/>
  <c r="J56" i="1"/>
  <c r="L58" i="1"/>
  <c r="L59" i="1"/>
  <c r="E66" i="1"/>
  <c r="G62" i="1"/>
  <c r="J57" i="1"/>
  <c r="D56" i="1"/>
  <c r="K57" i="1"/>
  <c r="M58" i="1"/>
  <c r="F66" i="1"/>
  <c r="H58" i="1"/>
  <c r="I56" i="1"/>
  <c r="I57" i="1"/>
  <c r="E67" i="1"/>
  <c r="L60" i="1"/>
  <c r="H59" i="1"/>
  <c r="F67" i="1"/>
  <c r="M59" i="1"/>
  <c r="D57" i="1"/>
  <c r="K58" i="1"/>
  <c r="J58" i="1"/>
  <c r="G63" i="1"/>
  <c r="G64" i="1"/>
  <c r="G65" i="1" s="1"/>
  <c r="E68" i="1"/>
  <c r="K59" i="1"/>
  <c r="J59" i="1"/>
  <c r="I58" i="1"/>
  <c r="D58" i="1"/>
  <c r="M60" i="1"/>
  <c r="L61" i="1"/>
  <c r="F68" i="1"/>
  <c r="H60" i="1"/>
  <c r="H61" i="1"/>
  <c r="E69" i="1"/>
  <c r="F69" i="1"/>
  <c r="G66" i="1"/>
  <c r="L62" i="1"/>
  <c r="K60" i="1"/>
  <c r="M61" i="1"/>
  <c r="D59" i="1"/>
  <c r="J60" i="1"/>
  <c r="I59" i="1"/>
  <c r="I60" i="1"/>
  <c r="E70" i="1"/>
  <c r="J61" i="1"/>
  <c r="D60" i="1"/>
  <c r="H62" i="1"/>
  <c r="M62" i="1"/>
  <c r="L63" i="1"/>
  <c r="K61" i="1"/>
  <c r="G67" i="1"/>
  <c r="F70" i="1"/>
  <c r="F71" i="1"/>
  <c r="E71" i="1"/>
  <c r="G68" i="1"/>
  <c r="I61" i="1"/>
  <c r="K62" i="1"/>
  <c r="J62" i="1"/>
  <c r="L64" i="1"/>
  <c r="M63" i="1"/>
  <c r="D61" i="1"/>
  <c r="H63" i="1"/>
  <c r="H64" i="1"/>
  <c r="E72" i="1"/>
  <c r="E73" i="1" s="1"/>
  <c r="D62" i="1"/>
  <c r="F72" i="1"/>
  <c r="F73" i="1" s="1"/>
  <c r="M64" i="1"/>
  <c r="L65" i="1"/>
  <c r="J63" i="1"/>
  <c r="K63" i="1"/>
  <c r="I62" i="1"/>
  <c r="G69" i="1"/>
  <c r="G70" i="1"/>
  <c r="E74" i="1"/>
  <c r="D63" i="1"/>
  <c r="I63" i="1"/>
  <c r="H65" i="1"/>
  <c r="K64" i="1"/>
  <c r="M65" i="1"/>
  <c r="J64" i="1"/>
  <c r="L66" i="1"/>
  <c r="F74" i="1"/>
  <c r="F75" i="1"/>
  <c r="E75" i="1"/>
  <c r="L67" i="1"/>
  <c r="G71" i="1"/>
  <c r="J65" i="1"/>
  <c r="M66" i="1"/>
  <c r="M67" i="1" s="1"/>
  <c r="D64" i="1"/>
  <c r="K65" i="1"/>
  <c r="H66" i="1"/>
  <c r="I64" i="1"/>
  <c r="I65" i="1"/>
  <c r="E76" i="1"/>
  <c r="H67" i="1"/>
  <c r="F76" i="1"/>
  <c r="K66" i="1"/>
  <c r="D65" i="1"/>
  <c r="L68" i="1"/>
  <c r="M68" i="1"/>
  <c r="J66" i="1"/>
  <c r="G72" i="1"/>
  <c r="G73" i="1" s="1"/>
  <c r="G74" i="1"/>
  <c r="E77" i="1"/>
  <c r="K67" i="1"/>
  <c r="K68" i="1" s="1"/>
  <c r="J67" i="1"/>
  <c r="J68" i="1" s="1"/>
  <c r="I66" i="1"/>
  <c r="M69" i="1"/>
  <c r="L69" i="1"/>
  <c r="H68" i="1"/>
  <c r="D66" i="1"/>
  <c r="F77" i="1"/>
  <c r="D67" i="1"/>
  <c r="G75" i="1"/>
  <c r="I67" i="1"/>
  <c r="H69" i="1"/>
  <c r="M70" i="1"/>
  <c r="L70" i="1"/>
  <c r="J69" i="1"/>
  <c r="E78" i="1"/>
  <c r="K69" i="1"/>
  <c r="F78" i="1"/>
  <c r="F79" i="1"/>
  <c r="G76" i="1"/>
  <c r="K70" i="1"/>
  <c r="D68" i="1"/>
  <c r="E79" i="1"/>
  <c r="J70" i="1"/>
  <c r="I68" i="1"/>
  <c r="L71" i="1"/>
  <c r="M71" i="1"/>
  <c r="H70" i="1"/>
  <c r="H71" i="1"/>
  <c r="G77" i="1"/>
  <c r="M72" i="1"/>
  <c r="F80" i="1"/>
  <c r="F81" i="1" s="1"/>
  <c r="L72" i="1"/>
  <c r="I69" i="1"/>
  <c r="K71" i="1"/>
  <c r="J71" i="1"/>
  <c r="E80" i="1"/>
  <c r="E81" i="1" s="1"/>
  <c r="D69" i="1"/>
  <c r="D70" i="1"/>
  <c r="G78" i="1"/>
  <c r="H72" i="1"/>
  <c r="E82" i="1"/>
  <c r="J72" i="1"/>
  <c r="L73" i="1"/>
  <c r="M73" i="1"/>
  <c r="K72" i="1"/>
  <c r="I70" i="1"/>
  <c r="F82" i="1"/>
  <c r="F83" i="1"/>
  <c r="G79" i="1"/>
  <c r="D71" i="1"/>
  <c r="I71" i="1"/>
  <c r="K73" i="1"/>
  <c r="M74" i="1"/>
  <c r="L74" i="1"/>
  <c r="J73" i="1"/>
  <c r="E83" i="1"/>
  <c r="H73" i="1"/>
  <c r="H74" i="1"/>
  <c r="G80" i="1"/>
  <c r="D72" i="1"/>
  <c r="E84" i="1"/>
  <c r="F84" i="1"/>
  <c r="J74" i="1"/>
  <c r="L75" i="1"/>
  <c r="I72" i="1"/>
  <c r="M75" i="1"/>
  <c r="K74" i="1"/>
  <c r="K75" i="1"/>
  <c r="G81" i="1"/>
  <c r="M76" i="1"/>
  <c r="H75" i="1"/>
  <c r="I73" i="1"/>
  <c r="L76" i="1"/>
  <c r="J75" i="1"/>
  <c r="E85" i="1"/>
  <c r="F85" i="1"/>
  <c r="D73" i="1"/>
  <c r="D74" i="1"/>
  <c r="G82" i="1"/>
  <c r="K76" i="1"/>
  <c r="F86" i="1"/>
  <c r="E86" i="1"/>
  <c r="J76" i="1"/>
  <c r="L77" i="1"/>
  <c r="I74" i="1"/>
  <c r="H76" i="1"/>
  <c r="M77" i="1"/>
  <c r="M78" i="1"/>
  <c r="G83" i="1"/>
  <c r="D75" i="1"/>
  <c r="H77" i="1"/>
  <c r="I75" i="1"/>
  <c r="L78" i="1"/>
  <c r="K77" i="1"/>
  <c r="J77" i="1"/>
  <c r="E87" i="1"/>
  <c r="F87" i="1"/>
  <c r="F88" i="1"/>
  <c r="F89" i="1" s="1"/>
  <c r="G84" i="1"/>
  <c r="E88" i="1"/>
  <c r="E89" i="1" s="1"/>
  <c r="M79" i="1"/>
  <c r="J78" i="1"/>
  <c r="D76" i="1"/>
  <c r="K78" i="1"/>
  <c r="L79" i="1"/>
  <c r="H78" i="1"/>
  <c r="I76" i="1"/>
  <c r="I77" i="1"/>
  <c r="G85" i="1"/>
  <c r="H79" i="1"/>
  <c r="F90" i="1"/>
  <c r="L80" i="1"/>
  <c r="K79" i="1"/>
  <c r="M80" i="1"/>
  <c r="D77" i="1"/>
  <c r="E90" i="1"/>
  <c r="J79" i="1"/>
  <c r="J80" i="1"/>
  <c r="G86" i="1"/>
  <c r="E91" i="1"/>
  <c r="I78" i="1"/>
  <c r="D78" i="1"/>
  <c r="H80" i="1"/>
  <c r="M81" i="1"/>
  <c r="F91" i="1"/>
  <c r="K80" i="1"/>
  <c r="L81" i="1"/>
  <c r="L82" i="1"/>
  <c r="G87" i="1"/>
  <c r="J81" i="1"/>
  <c r="D79" i="1"/>
  <c r="I79" i="1"/>
  <c r="K81" i="1"/>
  <c r="F92" i="1"/>
  <c r="M82" i="1"/>
  <c r="H81" i="1"/>
  <c r="E92" i="1"/>
  <c r="E93" i="1"/>
  <c r="G88" i="1"/>
  <c r="L83" i="1"/>
  <c r="H82" i="1"/>
  <c r="M83" i="1"/>
  <c r="K82" i="1"/>
  <c r="J82" i="1"/>
  <c r="F93" i="1"/>
  <c r="I80" i="1"/>
  <c r="D80" i="1"/>
  <c r="D81" i="1"/>
  <c r="I81" i="1"/>
  <c r="E94" i="1"/>
  <c r="L84" i="1"/>
  <c r="F94" i="1"/>
  <c r="J83" i="1"/>
  <c r="K83" i="1"/>
  <c r="M84" i="1"/>
  <c r="H83" i="1"/>
  <c r="G89" i="1"/>
  <c r="G90" i="1"/>
  <c r="I82" i="1"/>
  <c r="E95" i="1"/>
  <c r="H84" i="1"/>
  <c r="D82" i="1"/>
  <c r="K84" i="1"/>
  <c r="M85" i="1"/>
  <c r="J84" i="1"/>
  <c r="F95" i="1"/>
  <c r="L85" i="1"/>
  <c r="L86" i="1"/>
  <c r="I83" i="1"/>
  <c r="G91" i="1"/>
  <c r="D83" i="1"/>
  <c r="F96" i="1"/>
  <c r="F97" i="1" s="1"/>
  <c r="J85" i="1"/>
  <c r="M86" i="1"/>
  <c r="K85" i="1"/>
  <c r="H85" i="1"/>
  <c r="E96" i="1"/>
  <c r="E97" i="1" s="1"/>
  <c r="E98" i="1"/>
  <c r="I84" i="1"/>
  <c r="H86" i="1"/>
  <c r="L87" i="1"/>
  <c r="K86" i="1"/>
  <c r="M87" i="1"/>
  <c r="F98" i="1"/>
  <c r="J86" i="1"/>
  <c r="D84" i="1"/>
  <c r="G92" i="1"/>
  <c r="G93" i="1"/>
  <c r="I85" i="1"/>
  <c r="E99" i="1"/>
  <c r="D85" i="1"/>
  <c r="J87" i="1"/>
  <c r="L88" i="1"/>
  <c r="F99" i="1"/>
  <c r="H87" i="1"/>
  <c r="M88" i="1"/>
  <c r="K87" i="1"/>
  <c r="K88" i="1"/>
  <c r="I86" i="1"/>
  <c r="G94" i="1"/>
  <c r="M89" i="1"/>
  <c r="H88" i="1"/>
  <c r="J88" i="1"/>
  <c r="F100" i="1"/>
  <c r="D86" i="1"/>
  <c r="E100" i="1"/>
  <c r="L89" i="1"/>
  <c r="L90" i="1"/>
  <c r="I87" i="1"/>
  <c r="K89" i="1"/>
  <c r="E101" i="1"/>
  <c r="D87" i="1"/>
  <c r="F101" i="1"/>
  <c r="G95" i="1"/>
  <c r="J89" i="1"/>
  <c r="H89" i="1"/>
  <c r="M90" i="1"/>
  <c r="M91" i="1"/>
  <c r="I88" i="1"/>
  <c r="H90" i="1"/>
  <c r="L91" i="1"/>
  <c r="J90" i="1"/>
  <c r="F102" i="1"/>
  <c r="G96" i="1"/>
  <c r="G97" i="1" s="1"/>
  <c r="D88" i="1"/>
  <c r="E102" i="1"/>
  <c r="K90" i="1"/>
  <c r="K91" i="1"/>
  <c r="I89" i="1"/>
  <c r="E103" i="1"/>
  <c r="D89" i="1"/>
  <c r="H91" i="1"/>
  <c r="G98" i="1"/>
  <c r="M92" i="1"/>
  <c r="F103" i="1"/>
  <c r="J91" i="1"/>
  <c r="L92" i="1"/>
  <c r="L93" i="1"/>
  <c r="I90" i="1"/>
  <c r="K92" i="1"/>
  <c r="J92" i="1"/>
  <c r="F104" i="1"/>
  <c r="F105" i="1" s="1"/>
  <c r="M93" i="1"/>
  <c r="H92" i="1"/>
  <c r="G99" i="1"/>
  <c r="D90" i="1"/>
  <c r="E104" i="1"/>
  <c r="E105" i="1" s="1"/>
  <c r="E106" i="1"/>
  <c r="I91" i="1"/>
  <c r="D91" i="1"/>
  <c r="L94" i="1"/>
  <c r="G100" i="1"/>
  <c r="H93" i="1"/>
  <c r="K93" i="1"/>
  <c r="M94" i="1"/>
  <c r="J93" i="1"/>
  <c r="F106" i="1"/>
  <c r="F107" i="1"/>
  <c r="I92" i="1"/>
  <c r="E107" i="1"/>
  <c r="M95" i="1"/>
  <c r="J94" i="1"/>
  <c r="K94" i="1"/>
  <c r="H94" i="1"/>
  <c r="G101" i="1"/>
  <c r="D92" i="1"/>
  <c r="L95" i="1"/>
  <c r="L96" i="1"/>
  <c r="I93" i="1"/>
  <c r="E108" i="1"/>
  <c r="D93" i="1"/>
  <c r="F108" i="1"/>
  <c r="M96" i="1"/>
  <c r="G102" i="1"/>
  <c r="H95" i="1"/>
  <c r="K95" i="1"/>
  <c r="J95" i="1"/>
  <c r="J96" i="1"/>
  <c r="I94" i="1"/>
  <c r="K96" i="1"/>
  <c r="H96" i="1"/>
  <c r="L97" i="1"/>
  <c r="G103" i="1"/>
  <c r="M97" i="1"/>
  <c r="F109" i="1"/>
  <c r="D94" i="1"/>
  <c r="E109" i="1"/>
  <c r="E110" i="1"/>
  <c r="I95" i="1"/>
  <c r="J97" i="1"/>
  <c r="D95" i="1"/>
  <c r="F110" i="1"/>
  <c r="M98" i="1"/>
  <c r="L98" i="1"/>
  <c r="G104" i="1"/>
  <c r="H97" i="1"/>
  <c r="K97" i="1"/>
  <c r="K98" i="1"/>
  <c r="I96" i="1"/>
  <c r="H98" i="1"/>
  <c r="E111" i="1"/>
  <c r="G105" i="1"/>
  <c r="F111" i="1"/>
  <c r="L99" i="1"/>
  <c r="M99" i="1"/>
  <c r="D96" i="1"/>
  <c r="J98" i="1"/>
  <c r="J99" i="1"/>
  <c r="I97" i="1"/>
  <c r="D97" i="1"/>
  <c r="K99" i="1"/>
  <c r="M100" i="1"/>
  <c r="G106" i="1"/>
  <c r="L100" i="1"/>
  <c r="F112" i="1"/>
  <c r="F113" i="1" s="1"/>
  <c r="E112" i="1"/>
  <c r="E113" i="1" s="1"/>
  <c r="H99" i="1"/>
  <c r="H100" i="1"/>
  <c r="I98" i="1"/>
  <c r="E114" i="1"/>
  <c r="F114" i="1"/>
  <c r="L101" i="1"/>
  <c r="M101" i="1"/>
  <c r="G107" i="1"/>
  <c r="J100" i="1"/>
  <c r="K100" i="1"/>
  <c r="D98" i="1"/>
  <c r="D99" i="1"/>
  <c r="I99" i="1"/>
  <c r="K101" i="1"/>
  <c r="H101" i="1"/>
  <c r="J101" i="1"/>
  <c r="E115" i="1"/>
  <c r="G108" i="1"/>
  <c r="F115" i="1"/>
  <c r="M102" i="1"/>
  <c r="L102" i="1"/>
  <c r="L103" i="1"/>
  <c r="I100" i="1"/>
  <c r="E116" i="1"/>
  <c r="M103" i="1"/>
  <c r="D100" i="1"/>
  <c r="F116" i="1"/>
  <c r="J102" i="1"/>
  <c r="G109" i="1"/>
  <c r="K102" i="1"/>
  <c r="H102" i="1"/>
  <c r="H103" i="1"/>
  <c r="I101" i="1"/>
  <c r="K103" i="1"/>
  <c r="L104" i="1"/>
  <c r="G110" i="1"/>
  <c r="J103" i="1"/>
  <c r="F117" i="1"/>
  <c r="D101" i="1"/>
  <c r="M104" i="1"/>
  <c r="E117" i="1"/>
  <c r="E118" i="1"/>
  <c r="I102" i="1"/>
  <c r="H104" i="1"/>
  <c r="M105" i="1"/>
  <c r="D102" i="1"/>
  <c r="F118" i="1"/>
  <c r="J104" i="1"/>
  <c r="G111" i="1"/>
  <c r="L105" i="1"/>
  <c r="K104" i="1"/>
  <c r="K105" i="1"/>
  <c r="I103" i="1"/>
  <c r="H105" i="1"/>
  <c r="L106" i="1"/>
  <c r="E119" i="1"/>
  <c r="G112" i="1"/>
  <c r="J105" i="1"/>
  <c r="D103" i="1"/>
  <c r="F119" i="1"/>
  <c r="M106" i="1"/>
  <c r="M107" i="1"/>
  <c r="I104" i="1"/>
  <c r="F120" i="1"/>
  <c r="F121" i="1" s="1"/>
  <c r="K106" i="1"/>
  <c r="D104" i="1"/>
  <c r="J106" i="1"/>
  <c r="G113" i="1"/>
  <c r="E120" i="1"/>
  <c r="E121" i="1" s="1"/>
  <c r="L107" i="1"/>
  <c r="H106" i="1"/>
  <c r="H107" i="1"/>
  <c r="I105" i="1"/>
  <c r="M108" i="1"/>
  <c r="L108" i="1"/>
  <c r="E122" i="1"/>
  <c r="G114" i="1"/>
  <c r="D105" i="1"/>
  <c r="J107" i="1"/>
  <c r="F122" i="1"/>
  <c r="K107" i="1"/>
  <c r="K108" i="1"/>
  <c r="F123" i="1"/>
  <c r="H108" i="1"/>
  <c r="I106" i="1"/>
  <c r="J108" i="1"/>
  <c r="M109" i="1"/>
  <c r="D106" i="1"/>
  <c r="L109" i="1"/>
  <c r="G115" i="1"/>
  <c r="E123" i="1"/>
  <c r="E124" i="1"/>
  <c r="F124" i="1"/>
  <c r="H109" i="1"/>
  <c r="G116" i="1"/>
  <c r="K109" i="1"/>
  <c r="L110" i="1"/>
  <c r="J109" i="1"/>
  <c r="D107" i="1"/>
  <c r="M110" i="1"/>
  <c r="I107" i="1"/>
  <c r="I108" i="1"/>
  <c r="F125" i="1"/>
  <c r="M111" i="1"/>
  <c r="E125" i="1"/>
  <c r="D108" i="1"/>
  <c r="K110" i="1"/>
  <c r="J110" i="1"/>
  <c r="L111" i="1"/>
  <c r="H110" i="1"/>
  <c r="G117" i="1"/>
  <c r="G118" i="1"/>
  <c r="F126" i="1"/>
  <c r="H111" i="1"/>
  <c r="L112" i="1"/>
  <c r="J111" i="1"/>
  <c r="I109" i="1"/>
  <c r="K111" i="1"/>
  <c r="M112" i="1"/>
  <c r="D109" i="1"/>
  <c r="E126" i="1"/>
  <c r="E127" i="1"/>
  <c r="F127" i="1"/>
  <c r="G119" i="1"/>
  <c r="D110" i="1"/>
  <c r="M113" i="1"/>
  <c r="K112" i="1"/>
  <c r="I110" i="1"/>
  <c r="L113" i="1"/>
  <c r="H112" i="1"/>
  <c r="J112" i="1"/>
  <c r="J113" i="1"/>
  <c r="F128" i="1"/>
  <c r="F129" i="1" s="1"/>
  <c r="H113" i="1"/>
  <c r="E128" i="1"/>
  <c r="E129" i="1" s="1"/>
  <c r="L114" i="1"/>
  <c r="I111" i="1"/>
  <c r="K113" i="1"/>
  <c r="M114" i="1"/>
  <c r="D111" i="1"/>
  <c r="G120" i="1"/>
  <c r="G121" i="1"/>
  <c r="F130" i="1"/>
  <c r="H114" i="1"/>
  <c r="D112" i="1"/>
  <c r="J114" i="1"/>
  <c r="M115" i="1"/>
  <c r="K114" i="1"/>
  <c r="L115" i="1"/>
  <c r="I112" i="1"/>
  <c r="E130" i="1"/>
  <c r="E131" i="1"/>
  <c r="F131" i="1"/>
  <c r="G122" i="1"/>
  <c r="H115" i="1"/>
  <c r="I113" i="1"/>
  <c r="L116" i="1"/>
  <c r="K115" i="1"/>
  <c r="M116" i="1"/>
  <c r="J115" i="1"/>
  <c r="D113" i="1"/>
  <c r="D114" i="1"/>
  <c r="F132" i="1"/>
  <c r="J116" i="1"/>
  <c r="E132" i="1"/>
  <c r="M117" i="1"/>
  <c r="L117" i="1"/>
  <c r="K116" i="1"/>
  <c r="H116" i="1"/>
  <c r="I114" i="1"/>
  <c r="G123" i="1"/>
  <c r="I115" i="1"/>
  <c r="D115" i="1"/>
  <c r="H117" i="1"/>
  <c r="K117" i="1"/>
  <c r="L118" i="1"/>
  <c r="M118" i="1"/>
  <c r="J117" i="1"/>
  <c r="F133" i="1"/>
  <c r="E133" i="1"/>
  <c r="G124" i="1"/>
  <c r="G125" i="1"/>
  <c r="D116" i="1"/>
  <c r="E134" i="1"/>
  <c r="I116" i="1"/>
  <c r="F134" i="1"/>
  <c r="M119" i="1"/>
  <c r="J118" i="1"/>
  <c r="L119" i="1"/>
  <c r="K118" i="1"/>
  <c r="H118" i="1"/>
  <c r="H119" i="1"/>
  <c r="D117" i="1"/>
  <c r="K119" i="1"/>
  <c r="G126" i="1"/>
  <c r="L120" i="1"/>
  <c r="L121" i="1" s="1"/>
  <c r="J119" i="1"/>
  <c r="F135" i="1"/>
  <c r="M120" i="1"/>
  <c r="M121" i="1" s="1"/>
  <c r="I117" i="1"/>
  <c r="E135" i="1"/>
  <c r="E136" i="1"/>
  <c r="E137" i="1" s="1"/>
  <c r="D118" i="1"/>
  <c r="I118" i="1"/>
  <c r="H120" i="1"/>
  <c r="K120" i="1"/>
  <c r="M122" i="1"/>
  <c r="G127" i="1"/>
  <c r="F136" i="1"/>
  <c r="F137" i="1" s="1"/>
  <c r="J120" i="1"/>
  <c r="L122" i="1"/>
  <c r="L123" i="1"/>
  <c r="D119" i="1"/>
  <c r="I119" i="1"/>
  <c r="J121" i="1"/>
  <c r="E138" i="1"/>
  <c r="F138" i="1"/>
  <c r="G128" i="1"/>
  <c r="G129" i="1" s="1"/>
  <c r="H121" i="1"/>
  <c r="M123" i="1"/>
  <c r="K121" i="1"/>
  <c r="K122" i="1"/>
  <c r="D120" i="1"/>
  <c r="L124" i="1"/>
  <c r="M124" i="1"/>
  <c r="H122" i="1"/>
  <c r="G130" i="1"/>
  <c r="F139" i="1"/>
  <c r="I120" i="1"/>
  <c r="E139" i="1"/>
  <c r="J122" i="1"/>
  <c r="J123" i="1"/>
  <c r="D121" i="1"/>
  <c r="K123" i="1"/>
  <c r="E140" i="1"/>
  <c r="I121" i="1"/>
  <c r="F140" i="1"/>
  <c r="H123" i="1"/>
  <c r="G131" i="1"/>
  <c r="M125" i="1"/>
  <c r="L125" i="1"/>
  <c r="L126" i="1"/>
  <c r="D122" i="1"/>
  <c r="J124" i="1"/>
  <c r="K124" i="1"/>
  <c r="M126" i="1"/>
  <c r="E141" i="1"/>
  <c r="G132" i="1"/>
  <c r="I122" i="1"/>
  <c r="H124" i="1"/>
  <c r="F141" i="1"/>
  <c r="F142" i="1"/>
  <c r="D123" i="1"/>
  <c r="J125" i="1"/>
  <c r="H125" i="1"/>
  <c r="L127" i="1"/>
  <c r="I123" i="1"/>
  <c r="G133" i="1"/>
  <c r="E142" i="1"/>
  <c r="M127" i="1"/>
  <c r="K125" i="1"/>
  <c r="K126" i="1"/>
  <c r="D124" i="1"/>
  <c r="J126" i="1"/>
  <c r="M128" i="1"/>
  <c r="F143" i="1"/>
  <c r="E143" i="1"/>
  <c r="L128" i="1"/>
  <c r="G134" i="1"/>
  <c r="I124" i="1"/>
  <c r="H126" i="1"/>
  <c r="H127" i="1"/>
  <c r="D125" i="1"/>
  <c r="K127" i="1"/>
  <c r="J127" i="1"/>
  <c r="I125" i="1"/>
  <c r="F144" i="1"/>
  <c r="F145" i="1" s="1"/>
  <c r="G135" i="1"/>
  <c r="M129" i="1"/>
  <c r="L129" i="1"/>
  <c r="E144" i="1"/>
  <c r="E145" i="1" s="1"/>
  <c r="E146" i="1"/>
  <c r="D126" i="1"/>
  <c r="L130" i="1"/>
  <c r="H128" i="1"/>
  <c r="M130" i="1"/>
  <c r="G136" i="1"/>
  <c r="K128" i="1"/>
  <c r="F146" i="1"/>
  <c r="I126" i="1"/>
  <c r="J128" i="1"/>
  <c r="J129" i="1"/>
  <c r="D127" i="1"/>
  <c r="L131" i="1"/>
  <c r="I127" i="1"/>
  <c r="E147" i="1"/>
  <c r="M131" i="1"/>
  <c r="F147" i="1"/>
  <c r="K129" i="1"/>
  <c r="G137" i="1"/>
  <c r="H129" i="1"/>
  <c r="H130" i="1"/>
  <c r="D128" i="1"/>
  <c r="G138" i="1"/>
  <c r="J130" i="1"/>
  <c r="K130" i="1"/>
  <c r="F148" i="1"/>
  <c r="E148" i="1"/>
  <c r="M132" i="1"/>
  <c r="I128" i="1"/>
  <c r="L132" i="1"/>
  <c r="L133" i="1"/>
  <c r="D129" i="1"/>
  <c r="H131" i="1"/>
  <c r="F149" i="1"/>
  <c r="I129" i="1"/>
  <c r="M133" i="1"/>
  <c r="K131" i="1"/>
  <c r="E149" i="1"/>
  <c r="J131" i="1"/>
  <c r="G139" i="1"/>
  <c r="G140" i="1"/>
  <c r="D130" i="1"/>
  <c r="J132" i="1"/>
  <c r="L134" i="1"/>
  <c r="E150" i="1"/>
  <c r="H132" i="1"/>
  <c r="K132" i="1"/>
  <c r="F150" i="1"/>
  <c r="M134" i="1"/>
  <c r="I130" i="1"/>
  <c r="I131" i="1"/>
  <c r="D131" i="1"/>
  <c r="G141" i="1"/>
  <c r="F151" i="1"/>
  <c r="M135" i="1"/>
  <c r="K133" i="1"/>
  <c r="E151" i="1"/>
  <c r="H133" i="1"/>
  <c r="L135" i="1"/>
  <c r="J133" i="1"/>
  <c r="J134" i="1"/>
  <c r="D132" i="1"/>
  <c r="I132" i="1"/>
  <c r="L136" i="1"/>
  <c r="H134" i="1"/>
  <c r="G142" i="1"/>
  <c r="E152" i="1"/>
  <c r="E153" i="1" s="1"/>
  <c r="F152" i="1"/>
  <c r="F153" i="1" s="1"/>
  <c r="K134" i="1"/>
  <c r="M136" i="1"/>
  <c r="M137" i="1"/>
  <c r="D133" i="1"/>
  <c r="K135" i="1"/>
  <c r="J135" i="1"/>
  <c r="F154" i="1"/>
  <c r="E154" i="1"/>
  <c r="G143" i="1"/>
  <c r="H135" i="1"/>
  <c r="I133" i="1"/>
  <c r="L137" i="1"/>
  <c r="L138" i="1"/>
  <c r="D134" i="1"/>
  <c r="M138" i="1"/>
  <c r="J136" i="1"/>
  <c r="K136" i="1"/>
  <c r="I134" i="1"/>
  <c r="H136" i="1"/>
  <c r="G144" i="1"/>
  <c r="E155" i="1"/>
  <c r="F155" i="1"/>
  <c r="F156" i="1"/>
  <c r="D135" i="1"/>
  <c r="L139" i="1"/>
  <c r="E156" i="1"/>
  <c r="G145" i="1"/>
  <c r="K137" i="1"/>
  <c r="H137" i="1"/>
  <c r="I135" i="1"/>
  <c r="J137" i="1"/>
  <c r="M139" i="1"/>
  <c r="M140" i="1"/>
  <c r="D136" i="1"/>
  <c r="J138" i="1"/>
  <c r="F157" i="1"/>
  <c r="I136" i="1"/>
  <c r="H138" i="1"/>
  <c r="E157" i="1"/>
  <c r="K138" i="1"/>
  <c r="L140" i="1"/>
  <c r="G146" i="1"/>
  <c r="G147" i="1"/>
  <c r="D137" i="1"/>
  <c r="M141" i="1"/>
  <c r="H139" i="1"/>
  <c r="L141" i="1"/>
  <c r="K139" i="1"/>
  <c r="I137" i="1"/>
  <c r="E158" i="1"/>
  <c r="F158" i="1"/>
  <c r="J139" i="1"/>
  <c r="J140" i="1"/>
  <c r="D138" i="1"/>
  <c r="G148" i="1"/>
  <c r="K140" i="1"/>
  <c r="F159" i="1"/>
  <c r="E159" i="1"/>
  <c r="M142" i="1"/>
  <c r="I138" i="1"/>
  <c r="H140" i="1"/>
  <c r="L142" i="1"/>
  <c r="L143" i="1"/>
  <c r="D139" i="1"/>
  <c r="H141" i="1"/>
  <c r="J141" i="1"/>
  <c r="I139" i="1"/>
  <c r="F160" i="1"/>
  <c r="F161" i="1" s="1"/>
  <c r="M143" i="1"/>
  <c r="G149" i="1"/>
  <c r="E160" i="1"/>
  <c r="E161" i="1" s="1"/>
  <c r="K141" i="1"/>
  <c r="K142" i="1"/>
  <c r="D140" i="1"/>
  <c r="H142" i="1"/>
  <c r="E162" i="1"/>
  <c r="L144" i="1"/>
  <c r="G150" i="1"/>
  <c r="M144" i="1"/>
  <c r="I140" i="1"/>
  <c r="F162" i="1"/>
  <c r="J142" i="1"/>
  <c r="J143" i="1"/>
  <c r="J144" i="1" s="1"/>
  <c r="D141" i="1"/>
  <c r="K143" i="1"/>
  <c r="H143" i="1"/>
  <c r="F163" i="1"/>
  <c r="I141" i="1"/>
  <c r="M145" i="1"/>
  <c r="G151" i="1"/>
  <c r="L145" i="1"/>
  <c r="E163" i="1"/>
  <c r="E164" i="1"/>
  <c r="D142" i="1"/>
  <c r="J145" i="1"/>
  <c r="H144" i="1"/>
  <c r="L146" i="1"/>
  <c r="G152" i="1"/>
  <c r="M146" i="1"/>
  <c r="M147" i="1" s="1"/>
  <c r="I142" i="1"/>
  <c r="F164" i="1"/>
  <c r="K144" i="1"/>
  <c r="F165" i="1"/>
  <c r="E165" i="1"/>
  <c r="M148" i="1"/>
  <c r="I143" i="1"/>
  <c r="H145" i="1"/>
  <c r="G153" i="1"/>
  <c r="L147" i="1"/>
  <c r="J146" i="1"/>
  <c r="K145" i="1"/>
  <c r="D143" i="1"/>
  <c r="D144" i="1"/>
  <c r="K146" i="1"/>
  <c r="F166" i="1"/>
  <c r="M149" i="1"/>
  <c r="J147" i="1"/>
  <c r="L148" i="1"/>
  <c r="H146" i="1"/>
  <c r="E166" i="1"/>
  <c r="G154" i="1"/>
  <c r="I144" i="1"/>
  <c r="I145" i="1"/>
  <c r="K147" i="1"/>
  <c r="G155" i="1"/>
  <c r="D145" i="1"/>
  <c r="E167" i="1"/>
  <c r="H147" i="1"/>
  <c r="F167" i="1"/>
  <c r="L149" i="1"/>
  <c r="J148" i="1"/>
  <c r="M150" i="1"/>
  <c r="M151" i="1"/>
  <c r="K148" i="1"/>
  <c r="J149" i="1"/>
  <c r="I146" i="1"/>
  <c r="L150" i="1"/>
  <c r="E168" i="1"/>
  <c r="E169" i="1" s="1"/>
  <c r="G156" i="1"/>
  <c r="F168" i="1"/>
  <c r="F169" i="1" s="1"/>
  <c r="H148" i="1"/>
  <c r="D146" i="1"/>
  <c r="D147" i="1"/>
  <c r="K149" i="1"/>
  <c r="M152" i="1"/>
  <c r="I147" i="1"/>
  <c r="J150" i="1"/>
  <c r="H149" i="1"/>
  <c r="F170" i="1"/>
  <c r="G157" i="1"/>
  <c r="E170" i="1"/>
  <c r="L151" i="1"/>
  <c r="L152" i="1"/>
  <c r="K150" i="1"/>
  <c r="D148" i="1"/>
  <c r="I148" i="1"/>
  <c r="E171" i="1"/>
  <c r="G158" i="1"/>
  <c r="F171" i="1"/>
  <c r="M153" i="1"/>
  <c r="H150" i="1"/>
  <c r="J151" i="1"/>
  <c r="J152" i="1"/>
  <c r="K151" i="1"/>
  <c r="L153" i="1"/>
  <c r="H151" i="1"/>
  <c r="M154" i="1"/>
  <c r="G159" i="1"/>
  <c r="D149" i="1"/>
  <c r="F172" i="1"/>
  <c r="E172" i="1"/>
  <c r="I149" i="1"/>
  <c r="I150" i="1"/>
  <c r="K152" i="1"/>
  <c r="J153" i="1"/>
  <c r="M155" i="1"/>
  <c r="E173" i="1"/>
  <c r="G160" i="1"/>
  <c r="G161" i="1" s="1"/>
  <c r="F173" i="1"/>
  <c r="D150" i="1"/>
  <c r="H152" i="1"/>
  <c r="L154" i="1"/>
  <c r="L155" i="1"/>
  <c r="K153" i="1"/>
  <c r="H153" i="1"/>
  <c r="D151" i="1"/>
  <c r="I151" i="1"/>
  <c r="F174" i="1"/>
  <c r="J154" i="1"/>
  <c r="G162" i="1"/>
  <c r="E174" i="1"/>
  <c r="M156" i="1"/>
  <c r="M157" i="1"/>
  <c r="K154" i="1"/>
  <c r="E175" i="1"/>
  <c r="L156" i="1"/>
  <c r="G163" i="1"/>
  <c r="D152" i="1"/>
  <c r="J155" i="1"/>
  <c r="H154" i="1"/>
  <c r="F175" i="1"/>
  <c r="I152" i="1"/>
  <c r="F176" i="1"/>
  <c r="F177" i="1" s="1"/>
  <c r="M158" i="1"/>
  <c r="D153" i="1"/>
  <c r="H155" i="1"/>
  <c r="J156" i="1"/>
  <c r="G164" i="1"/>
  <c r="L157" i="1"/>
  <c r="I153" i="1"/>
  <c r="E176" i="1"/>
  <c r="E177" i="1" s="1"/>
  <c r="K155" i="1"/>
  <c r="K156" i="1"/>
  <c r="M159" i="1"/>
  <c r="F178" i="1"/>
  <c r="E178" i="1"/>
  <c r="I154" i="1"/>
  <c r="L158" i="1"/>
  <c r="G165" i="1"/>
  <c r="J157" i="1"/>
  <c r="H156" i="1"/>
  <c r="D154" i="1"/>
  <c r="D155" i="1"/>
  <c r="M160" i="1"/>
  <c r="H157" i="1"/>
  <c r="K157" i="1"/>
  <c r="K158" i="1" s="1"/>
  <c r="J158" i="1"/>
  <c r="F179" i="1"/>
  <c r="G166" i="1"/>
  <c r="L159" i="1"/>
  <c r="I155" i="1"/>
  <c r="E179" i="1"/>
  <c r="E180" i="1"/>
  <c r="M161" i="1"/>
  <c r="I156" i="1"/>
  <c r="L160" i="1"/>
  <c r="G167" i="1"/>
  <c r="H158" i="1"/>
  <c r="F180" i="1"/>
  <c r="D156" i="1"/>
  <c r="J159" i="1"/>
  <c r="K159" i="1"/>
  <c r="J160" i="1"/>
  <c r="E181" i="1"/>
  <c r="H159" i="1"/>
  <c r="K160" i="1"/>
  <c r="D157" i="1"/>
  <c r="F181" i="1"/>
  <c r="G168" i="1"/>
  <c r="I157" i="1"/>
  <c r="L161" i="1"/>
  <c r="M162" i="1"/>
  <c r="M163" i="1"/>
  <c r="E182" i="1"/>
  <c r="J161" i="1"/>
  <c r="J162" i="1" s="1"/>
  <c r="L162" i="1"/>
  <c r="I158" i="1"/>
  <c r="H160" i="1"/>
  <c r="G169" i="1"/>
  <c r="F182" i="1"/>
  <c r="D158" i="1"/>
  <c r="K161" i="1"/>
  <c r="K162" i="1"/>
  <c r="E183" i="1"/>
  <c r="J163" i="1"/>
  <c r="D159" i="1"/>
  <c r="M164" i="1"/>
  <c r="F183" i="1"/>
  <c r="G170" i="1"/>
  <c r="H161" i="1"/>
  <c r="L163" i="1"/>
  <c r="I159" i="1"/>
  <c r="I160" i="1"/>
  <c r="E184" i="1"/>
  <c r="E185" i="1" s="1"/>
  <c r="L164" i="1"/>
  <c r="K163" i="1"/>
  <c r="H162" i="1"/>
  <c r="G171" i="1"/>
  <c r="F184" i="1"/>
  <c r="F185" i="1" s="1"/>
  <c r="M165" i="1"/>
  <c r="D160" i="1"/>
  <c r="J164" i="1"/>
  <c r="J165" i="1"/>
  <c r="E186" i="1"/>
  <c r="K164" i="1"/>
  <c r="D161" i="1"/>
  <c r="I161" i="1"/>
  <c r="H163" i="1"/>
  <c r="M166" i="1"/>
  <c r="F186" i="1"/>
  <c r="G172" i="1"/>
  <c r="L165" i="1"/>
  <c r="G173" i="1"/>
  <c r="J166" i="1"/>
  <c r="F187" i="1"/>
  <c r="M167" i="1"/>
  <c r="H164" i="1"/>
  <c r="I162" i="1"/>
  <c r="L166" i="1"/>
  <c r="D162" i="1"/>
  <c r="K165" i="1"/>
  <c r="E187" i="1"/>
  <c r="E188" i="1"/>
  <c r="J167" i="1"/>
  <c r="K166" i="1"/>
  <c r="D163" i="1"/>
  <c r="G174" i="1"/>
  <c r="L167" i="1"/>
  <c r="I163" i="1"/>
  <c r="H165" i="1"/>
  <c r="M168" i="1"/>
  <c r="F188" i="1"/>
  <c r="M169" i="1"/>
  <c r="E189" i="1"/>
  <c r="H166" i="1"/>
  <c r="I164" i="1"/>
  <c r="G175" i="1"/>
  <c r="D164" i="1"/>
  <c r="K167" i="1"/>
  <c r="F189" i="1"/>
  <c r="J168" i="1"/>
  <c r="L168" i="1"/>
  <c r="L169" i="1"/>
  <c r="E190" i="1"/>
  <c r="J169" i="1"/>
  <c r="M170" i="1"/>
  <c r="F190" i="1"/>
  <c r="K168" i="1"/>
  <c r="H167" i="1"/>
  <c r="D165" i="1"/>
  <c r="G176" i="1"/>
  <c r="I165" i="1"/>
  <c r="I166" i="1"/>
  <c r="E191" i="1"/>
  <c r="G177" i="1"/>
  <c r="L170" i="1"/>
  <c r="D166" i="1"/>
  <c r="H168" i="1"/>
  <c r="K169" i="1"/>
  <c r="F191" i="1"/>
  <c r="M171" i="1"/>
  <c r="J170" i="1"/>
  <c r="J171" i="1"/>
  <c r="E192" i="1"/>
  <c r="E193" i="1" s="1"/>
  <c r="M172" i="1"/>
  <c r="I167" i="1"/>
  <c r="F192" i="1"/>
  <c r="F193" i="1" s="1"/>
  <c r="K170" i="1"/>
  <c r="H169" i="1"/>
  <c r="G178" i="1"/>
  <c r="D167" i="1"/>
  <c r="L171" i="1"/>
  <c r="L172" i="1"/>
  <c r="E194" i="1"/>
  <c r="J172" i="1"/>
  <c r="D168" i="1"/>
  <c r="G179" i="1"/>
  <c r="M173" i="1"/>
  <c r="H170" i="1"/>
  <c r="K171" i="1"/>
  <c r="F194" i="1"/>
  <c r="I168" i="1"/>
  <c r="I169" i="1"/>
  <c r="E195" i="1"/>
  <c r="F195" i="1"/>
  <c r="L173" i="1"/>
  <c r="K172" i="1"/>
  <c r="J173" i="1"/>
  <c r="H171" i="1"/>
  <c r="D169" i="1"/>
  <c r="M174" i="1"/>
  <c r="G180" i="1"/>
  <c r="G181" i="1"/>
  <c r="E196" i="1"/>
  <c r="M175" i="1"/>
  <c r="I170" i="1"/>
  <c r="D170" i="1"/>
  <c r="K173" i="1"/>
  <c r="H172" i="1"/>
  <c r="J174" i="1"/>
  <c r="L174" i="1"/>
  <c r="F196" i="1"/>
  <c r="F197" i="1"/>
  <c r="E197" i="1"/>
  <c r="L175" i="1"/>
  <c r="G182" i="1"/>
  <c r="J175" i="1"/>
  <c r="H173" i="1"/>
  <c r="M176" i="1"/>
  <c r="K174" i="1"/>
  <c r="D171" i="1"/>
  <c r="I171" i="1"/>
  <c r="I172" i="1"/>
  <c r="E198" i="1"/>
  <c r="F198" i="1"/>
  <c r="D172" i="1"/>
  <c r="K175" i="1"/>
  <c r="L176" i="1"/>
  <c r="M177" i="1"/>
  <c r="H174" i="1"/>
  <c r="J176" i="1"/>
  <c r="G183" i="1"/>
  <c r="G184" i="1"/>
  <c r="E199" i="1"/>
  <c r="I173" i="1"/>
  <c r="K176" i="1"/>
  <c r="J177" i="1"/>
  <c r="H175" i="1"/>
  <c r="M178" i="1"/>
  <c r="L177" i="1"/>
  <c r="D173" i="1"/>
  <c r="F199" i="1"/>
  <c r="F200" i="1"/>
  <c r="F201" i="1" s="1"/>
  <c r="E200" i="1"/>
  <c r="E201" i="1" s="1"/>
  <c r="G185" i="1"/>
  <c r="D174" i="1"/>
  <c r="L178" i="1"/>
  <c r="M179" i="1"/>
  <c r="J178" i="1"/>
  <c r="I174" i="1"/>
  <c r="H176" i="1"/>
  <c r="K177" i="1"/>
  <c r="K178" i="1"/>
  <c r="E202" i="1"/>
  <c r="H177" i="1"/>
  <c r="F202" i="1"/>
  <c r="I175" i="1"/>
  <c r="D175" i="1"/>
  <c r="J179" i="1"/>
  <c r="G186" i="1"/>
  <c r="M180" i="1"/>
  <c r="L179" i="1"/>
  <c r="L180" i="1"/>
  <c r="E203" i="1"/>
  <c r="M181" i="1"/>
  <c r="K179" i="1"/>
  <c r="G187" i="1"/>
  <c r="H178" i="1"/>
  <c r="J180" i="1"/>
  <c r="F203" i="1"/>
  <c r="D176" i="1"/>
  <c r="I176" i="1"/>
  <c r="I177" i="1"/>
  <c r="E204" i="1"/>
  <c r="D177" i="1"/>
  <c r="L181" i="1"/>
  <c r="F204" i="1"/>
  <c r="K180" i="1"/>
  <c r="J181" i="1"/>
  <c r="H179" i="1"/>
  <c r="M182" i="1"/>
  <c r="G188" i="1"/>
  <c r="G189" i="1"/>
  <c r="E205" i="1"/>
  <c r="M183" i="1"/>
  <c r="I178" i="1"/>
  <c r="H180" i="1"/>
  <c r="J182" i="1"/>
  <c r="F205" i="1"/>
  <c r="K181" i="1"/>
  <c r="L182" i="1"/>
  <c r="D178" i="1"/>
  <c r="D179" i="1"/>
  <c r="E206" i="1"/>
  <c r="G190" i="1"/>
  <c r="L183" i="1"/>
  <c r="H181" i="1"/>
  <c r="K182" i="1"/>
  <c r="F206" i="1"/>
  <c r="J183" i="1"/>
  <c r="I179" i="1"/>
  <c r="M184" i="1"/>
  <c r="M185" i="1"/>
  <c r="E207" i="1"/>
  <c r="I180" i="1"/>
  <c r="D180" i="1"/>
  <c r="J184" i="1"/>
  <c r="F207" i="1"/>
  <c r="H182" i="1"/>
  <c r="K183" i="1"/>
  <c r="L184" i="1"/>
  <c r="G191" i="1"/>
  <c r="G192" i="1"/>
  <c r="G193" i="1" s="1"/>
  <c r="E208" i="1"/>
  <c r="E209" i="1" s="1"/>
  <c r="L185" i="1"/>
  <c r="M186" i="1"/>
  <c r="K184" i="1"/>
  <c r="H183" i="1"/>
  <c r="F208" i="1"/>
  <c r="F209" i="1" s="1"/>
  <c r="J185" i="1"/>
  <c r="J186" i="1" s="1"/>
  <c r="I181" i="1"/>
  <c r="D181" i="1"/>
  <c r="D182" i="1"/>
  <c r="E210" i="1"/>
  <c r="I182" i="1"/>
  <c r="G194" i="1"/>
  <c r="L186" i="1"/>
  <c r="J187" i="1"/>
  <c r="M187" i="1"/>
  <c r="F210" i="1"/>
  <c r="H184" i="1"/>
  <c r="K185" i="1"/>
  <c r="K186" i="1"/>
  <c r="E211" i="1"/>
  <c r="F211" i="1"/>
  <c r="H185" i="1"/>
  <c r="D183" i="1"/>
  <c r="M188" i="1"/>
  <c r="J188" i="1"/>
  <c r="L187" i="1"/>
  <c r="I183" i="1"/>
  <c r="G195" i="1"/>
  <c r="G196" i="1"/>
  <c r="E212" i="1"/>
  <c r="I184" i="1"/>
  <c r="K187" i="1"/>
  <c r="L188" i="1"/>
  <c r="D184" i="1"/>
  <c r="J189" i="1"/>
  <c r="M189" i="1"/>
  <c r="H186" i="1"/>
  <c r="F212" i="1"/>
  <c r="F213" i="1"/>
  <c r="E213" i="1"/>
  <c r="H187" i="1"/>
  <c r="G197" i="1"/>
  <c r="M190" i="1"/>
  <c r="I185" i="1"/>
  <c r="J190" i="1"/>
  <c r="K188" i="1"/>
  <c r="D185" i="1"/>
  <c r="L189" i="1"/>
  <c r="L190" i="1"/>
  <c r="E214" i="1"/>
  <c r="H188" i="1"/>
  <c r="D186" i="1"/>
  <c r="F214" i="1"/>
  <c r="K189" i="1"/>
  <c r="J191" i="1"/>
  <c r="I186" i="1"/>
  <c r="G198" i="1"/>
  <c r="M191" i="1"/>
  <c r="M192" i="1"/>
  <c r="E215" i="1"/>
  <c r="G199" i="1"/>
  <c r="L191" i="1"/>
  <c r="H189" i="1"/>
  <c r="I187" i="1"/>
  <c r="K190" i="1"/>
  <c r="J192" i="1"/>
  <c r="F215" i="1"/>
  <c r="D187" i="1"/>
  <c r="D188" i="1"/>
  <c r="E216" i="1"/>
  <c r="E217" i="1" s="1"/>
  <c r="M193" i="1"/>
  <c r="F216" i="1"/>
  <c r="F217" i="1" s="1"/>
  <c r="J193" i="1"/>
  <c r="J194" i="1" s="1"/>
  <c r="H190" i="1"/>
  <c r="K191" i="1"/>
  <c r="I188" i="1"/>
  <c r="L192" i="1"/>
  <c r="G200" i="1"/>
  <c r="G201" i="1"/>
  <c r="E218" i="1"/>
  <c r="L193" i="1"/>
  <c r="D189" i="1"/>
  <c r="I189" i="1"/>
  <c r="M194" i="1"/>
  <c r="K192" i="1"/>
  <c r="J195" i="1"/>
  <c r="H191" i="1"/>
  <c r="F218" i="1"/>
  <c r="F219" i="1"/>
  <c r="E219" i="1"/>
  <c r="H192" i="1"/>
  <c r="G202" i="1"/>
  <c r="J196" i="1"/>
  <c r="L194" i="1"/>
  <c r="K193" i="1"/>
  <c r="M195" i="1"/>
  <c r="I190" i="1"/>
  <c r="D190" i="1"/>
  <c r="D191" i="1"/>
  <c r="E220" i="1"/>
  <c r="I191" i="1"/>
  <c r="F220" i="1"/>
  <c r="M196" i="1"/>
  <c r="H193" i="1"/>
  <c r="K194" i="1"/>
  <c r="L195" i="1"/>
  <c r="J197" i="1"/>
  <c r="G203" i="1"/>
  <c r="G204" i="1"/>
  <c r="E221" i="1"/>
  <c r="J198" i="1"/>
  <c r="D192" i="1"/>
  <c r="L196" i="1"/>
  <c r="K195" i="1"/>
  <c r="H194" i="1"/>
  <c r="M197" i="1"/>
  <c r="F221" i="1"/>
  <c r="I192" i="1"/>
  <c r="I193" i="1"/>
  <c r="E222" i="1"/>
  <c r="F222" i="1"/>
  <c r="G205" i="1"/>
  <c r="M198" i="1"/>
  <c r="H195" i="1"/>
  <c r="L197" i="1"/>
  <c r="K196" i="1"/>
  <c r="D193" i="1"/>
  <c r="J199" i="1"/>
  <c r="J200" i="1"/>
  <c r="E223" i="1"/>
  <c r="D194" i="1"/>
  <c r="I194" i="1"/>
  <c r="M199" i="1"/>
  <c r="K197" i="1"/>
  <c r="L198" i="1"/>
  <c r="F223" i="1"/>
  <c r="H196" i="1"/>
  <c r="G206" i="1"/>
  <c r="G207" i="1"/>
  <c r="E224" i="1"/>
  <c r="E225" i="1" s="1"/>
  <c r="H197" i="1"/>
  <c r="J201" i="1"/>
  <c r="D195" i="1"/>
  <c r="F224" i="1"/>
  <c r="F225" i="1" s="1"/>
  <c r="L199" i="1"/>
  <c r="K198" i="1"/>
  <c r="I195" i="1"/>
  <c r="M200" i="1"/>
  <c r="M201" i="1"/>
  <c r="E226" i="1"/>
  <c r="I196" i="1"/>
  <c r="G208" i="1"/>
  <c r="K199" i="1"/>
  <c r="D196" i="1"/>
  <c r="L200" i="1"/>
  <c r="F226" i="1"/>
  <c r="J202" i="1"/>
  <c r="H198" i="1"/>
  <c r="H199" i="1"/>
  <c r="E227" i="1"/>
  <c r="M202" i="1"/>
  <c r="I197" i="1"/>
  <c r="J203" i="1"/>
  <c r="F227" i="1"/>
  <c r="L201" i="1"/>
  <c r="D197" i="1"/>
  <c r="K200" i="1"/>
  <c r="G209" i="1"/>
  <c r="G210" i="1"/>
  <c r="E228" i="1"/>
  <c r="K201" i="1"/>
  <c r="H200" i="1"/>
  <c r="D198" i="1"/>
  <c r="I198" i="1"/>
  <c r="L202" i="1"/>
  <c r="F228" i="1"/>
  <c r="M203" i="1"/>
  <c r="J204" i="1"/>
  <c r="J205" i="1"/>
  <c r="E229" i="1"/>
  <c r="M204" i="1"/>
  <c r="G211" i="1"/>
  <c r="K202" i="1"/>
  <c r="F229" i="1"/>
  <c r="L203" i="1"/>
  <c r="I199" i="1"/>
  <c r="H201" i="1"/>
  <c r="D199" i="1"/>
  <c r="D200" i="1"/>
  <c r="E230" i="1"/>
  <c r="H202" i="1"/>
  <c r="J206" i="1"/>
  <c r="I200" i="1"/>
  <c r="L204" i="1"/>
  <c r="F230" i="1"/>
  <c r="K203" i="1"/>
  <c r="G212" i="1"/>
  <c r="M205" i="1"/>
  <c r="M206" i="1"/>
  <c r="E231" i="1"/>
  <c r="G213" i="1"/>
  <c r="D201" i="1"/>
  <c r="K204" i="1"/>
  <c r="F231" i="1"/>
  <c r="H203" i="1"/>
  <c r="L205" i="1"/>
  <c r="I201" i="1"/>
  <c r="J207" i="1"/>
  <c r="I202" i="1"/>
  <c r="M207" i="1"/>
  <c r="L206" i="1"/>
  <c r="J208" i="1"/>
  <c r="H204" i="1"/>
  <c r="G214" i="1"/>
  <c r="E232" i="1"/>
  <c r="E233" i="1" s="1"/>
  <c r="F232" i="1"/>
  <c r="F233" i="1" s="1"/>
  <c r="K205" i="1"/>
  <c r="D202" i="1"/>
  <c r="D203" i="1"/>
  <c r="M208" i="1"/>
  <c r="K206" i="1"/>
  <c r="F234" i="1"/>
  <c r="E234" i="1"/>
  <c r="G215" i="1"/>
  <c r="J209" i="1"/>
  <c r="J210" i="1" s="1"/>
  <c r="L207" i="1"/>
  <c r="I203" i="1"/>
  <c r="H205" i="1"/>
  <c r="H206" i="1"/>
  <c r="M209" i="1"/>
  <c r="I204" i="1"/>
  <c r="D204" i="1"/>
  <c r="L208" i="1"/>
  <c r="J211" i="1"/>
  <c r="E235" i="1"/>
  <c r="G216" i="1"/>
  <c r="K207" i="1"/>
  <c r="F235" i="1"/>
  <c r="F236" i="1"/>
  <c r="M210" i="1"/>
  <c r="K208" i="1"/>
  <c r="H207" i="1"/>
  <c r="I205" i="1"/>
  <c r="G217" i="1"/>
  <c r="D205" i="1"/>
  <c r="E236" i="1"/>
  <c r="J212" i="1"/>
  <c r="L209" i="1"/>
  <c r="L210" i="1"/>
  <c r="M211" i="1"/>
  <c r="J213" i="1"/>
  <c r="F237" i="1"/>
  <c r="E237" i="1"/>
  <c r="K209" i="1"/>
  <c r="D206" i="1"/>
  <c r="H208" i="1"/>
  <c r="G218" i="1"/>
  <c r="I206" i="1"/>
  <c r="I207" i="1"/>
  <c r="M212" i="1"/>
  <c r="G219" i="1"/>
  <c r="L211" i="1"/>
  <c r="H209" i="1"/>
  <c r="D207" i="1"/>
  <c r="K210" i="1"/>
  <c r="E238" i="1"/>
  <c r="F238" i="1"/>
  <c r="J214" i="1"/>
  <c r="J215" i="1"/>
  <c r="M213" i="1"/>
  <c r="F239" i="1"/>
  <c r="I208" i="1"/>
  <c r="E239" i="1"/>
  <c r="L212" i="1"/>
  <c r="K211" i="1"/>
  <c r="D208" i="1"/>
  <c r="H210" i="1"/>
  <c r="G220" i="1"/>
  <c r="G221" i="1"/>
  <c r="M214" i="1"/>
  <c r="H211" i="1"/>
  <c r="J216" i="1"/>
  <c r="D209" i="1"/>
  <c r="F240" i="1"/>
  <c r="F241" i="1" s="1"/>
  <c r="K212" i="1"/>
  <c r="I209" i="1"/>
  <c r="L213" i="1"/>
  <c r="E240" i="1"/>
  <c r="E241" i="1" s="1"/>
  <c r="E242" i="1"/>
  <c r="M215" i="1"/>
  <c r="H212" i="1"/>
  <c r="L214" i="1"/>
  <c r="L215" i="1" s="1"/>
  <c r="G222" i="1"/>
  <c r="I210" i="1"/>
  <c r="K213" i="1"/>
  <c r="F242" i="1"/>
  <c r="J217" i="1"/>
  <c r="D210" i="1"/>
  <c r="D211" i="1"/>
  <c r="M216" i="1"/>
  <c r="M217" i="1" s="1"/>
  <c r="J218" i="1"/>
  <c r="E243" i="1"/>
  <c r="F243" i="1"/>
  <c r="K214" i="1"/>
  <c r="H213" i="1"/>
  <c r="I211" i="1"/>
  <c r="G223" i="1"/>
  <c r="L216" i="1"/>
  <c r="L217" i="1"/>
  <c r="M218" i="1"/>
  <c r="G224" i="1"/>
  <c r="G225" i="1" s="1"/>
  <c r="D212" i="1"/>
  <c r="I212" i="1"/>
  <c r="J219" i="1"/>
  <c r="H214" i="1"/>
  <c r="K215" i="1"/>
  <c r="E244" i="1"/>
  <c r="F244" i="1"/>
  <c r="F245" i="1"/>
  <c r="M219" i="1"/>
  <c r="E245" i="1"/>
  <c r="L218" i="1"/>
  <c r="K216" i="1"/>
  <c r="H215" i="1"/>
  <c r="J220" i="1"/>
  <c r="G226" i="1"/>
  <c r="I213" i="1"/>
  <c r="D213" i="1"/>
  <c r="I214" i="1"/>
  <c r="F246" i="1"/>
  <c r="G227" i="1"/>
  <c r="E246" i="1"/>
  <c r="J221" i="1"/>
  <c r="D214" i="1"/>
  <c r="H216" i="1"/>
  <c r="K217" i="1"/>
  <c r="M220" i="1"/>
  <c r="L219" i="1"/>
  <c r="L220" i="1"/>
  <c r="F247" i="1"/>
  <c r="G228" i="1"/>
  <c r="M221" i="1"/>
  <c r="I215" i="1"/>
  <c r="K218" i="1"/>
  <c r="H217" i="1"/>
  <c r="E247" i="1"/>
  <c r="D215" i="1"/>
  <c r="J222" i="1"/>
  <c r="J223" i="1"/>
  <c r="F248" i="1"/>
  <c r="D216" i="1"/>
  <c r="L221" i="1"/>
  <c r="I216" i="1"/>
  <c r="E248" i="1"/>
  <c r="E249" i="1" s="1"/>
  <c r="H218" i="1"/>
  <c r="K219" i="1"/>
  <c r="M222" i="1"/>
  <c r="G229" i="1"/>
  <c r="G230" i="1"/>
  <c r="M223" i="1"/>
  <c r="J224" i="1"/>
  <c r="K220" i="1"/>
  <c r="H219" i="1"/>
  <c r="I217" i="1"/>
  <c r="E250" i="1"/>
  <c r="D217" i="1"/>
  <c r="L222" i="1"/>
  <c r="F249" i="1"/>
  <c r="F250" i="1"/>
  <c r="M224" i="1"/>
  <c r="L223" i="1"/>
  <c r="D218" i="1"/>
  <c r="I218" i="1"/>
  <c r="G231" i="1"/>
  <c r="E251" i="1"/>
  <c r="K221" i="1"/>
  <c r="H220" i="1"/>
  <c r="J225" i="1"/>
  <c r="J226" i="1"/>
  <c r="M225" i="1"/>
  <c r="L224" i="1"/>
  <c r="H221" i="1"/>
  <c r="F251" i="1"/>
  <c r="K222" i="1"/>
  <c r="I219" i="1"/>
  <c r="D219" i="1"/>
  <c r="E252" i="1"/>
  <c r="G232" i="1"/>
  <c r="G233" i="1"/>
  <c r="M226" i="1"/>
  <c r="E253" i="1"/>
  <c r="J227" i="1"/>
  <c r="J228" i="1" s="1"/>
  <c r="D220" i="1"/>
  <c r="L225" i="1"/>
  <c r="I220" i="1"/>
  <c r="K223" i="1"/>
  <c r="H222" i="1"/>
  <c r="F252" i="1"/>
  <c r="F253" i="1"/>
  <c r="M227" i="1"/>
  <c r="H223" i="1"/>
  <c r="G234" i="1"/>
  <c r="K224" i="1"/>
  <c r="J229" i="1"/>
  <c r="I221" i="1"/>
  <c r="E254" i="1"/>
  <c r="L226" i="1"/>
  <c r="D221" i="1"/>
  <c r="D222" i="1"/>
  <c r="M228" i="1"/>
  <c r="L227" i="1"/>
  <c r="F254" i="1"/>
  <c r="E255" i="1"/>
  <c r="I222" i="1"/>
  <c r="J230" i="1"/>
  <c r="K225" i="1"/>
  <c r="G235" i="1"/>
  <c r="H224" i="1"/>
  <c r="H225" i="1"/>
  <c r="M229" i="1"/>
  <c r="G236" i="1"/>
  <c r="D223" i="1"/>
  <c r="K226" i="1"/>
  <c r="L228" i="1"/>
  <c r="J231" i="1"/>
  <c r="F255" i="1"/>
  <c r="I223" i="1"/>
  <c r="E256" i="1"/>
  <c r="E257" i="1" s="1"/>
  <c r="E258" i="1"/>
  <c r="M230" i="1"/>
  <c r="I224" i="1"/>
  <c r="H226" i="1"/>
  <c r="F256" i="1"/>
  <c r="D224" i="1"/>
  <c r="G237" i="1"/>
  <c r="J232" i="1"/>
  <c r="L229" i="1"/>
  <c r="K227" i="1"/>
  <c r="K228" i="1"/>
  <c r="M231" i="1"/>
  <c r="L230" i="1"/>
  <c r="E259" i="1"/>
  <c r="J233" i="1"/>
  <c r="I225" i="1"/>
  <c r="G238" i="1"/>
  <c r="H227" i="1"/>
  <c r="D225" i="1"/>
  <c r="F257" i="1"/>
  <c r="F258" i="1"/>
  <c r="M232" i="1"/>
  <c r="E260" i="1"/>
  <c r="D226" i="1"/>
  <c r="K229" i="1"/>
  <c r="J234" i="1"/>
  <c r="H228" i="1"/>
  <c r="L231" i="1"/>
  <c r="G239" i="1"/>
  <c r="I226" i="1"/>
  <c r="I227" i="1"/>
  <c r="F259" i="1"/>
  <c r="M233" i="1"/>
  <c r="G240" i="1"/>
  <c r="K230" i="1"/>
  <c r="L232" i="1"/>
  <c r="L233" i="1" s="1"/>
  <c r="D227" i="1"/>
  <c r="H229" i="1"/>
  <c r="J235" i="1"/>
  <c r="J236" i="1"/>
  <c r="I228" i="1"/>
  <c r="H230" i="1"/>
  <c r="D228" i="1"/>
  <c r="F260" i="1"/>
  <c r="L234" i="1"/>
  <c r="K231" i="1"/>
  <c r="G241" i="1"/>
  <c r="M234" i="1"/>
  <c r="M235" i="1"/>
  <c r="H231" i="1"/>
  <c r="G242" i="1"/>
  <c r="K232" i="1"/>
  <c r="L235" i="1"/>
  <c r="D229" i="1"/>
  <c r="J237" i="1"/>
  <c r="I229" i="1"/>
  <c r="I230" i="1"/>
  <c r="K233" i="1"/>
  <c r="J238" i="1"/>
  <c r="G243" i="1"/>
  <c r="D230" i="1"/>
  <c r="M236" i="1"/>
  <c r="L236" i="1"/>
  <c r="H232" i="1"/>
  <c r="H233" i="1"/>
  <c r="I231" i="1"/>
  <c r="L237" i="1"/>
  <c r="M237" i="1"/>
  <c r="J239" i="1"/>
  <c r="D231" i="1"/>
  <c r="G244" i="1"/>
  <c r="K234" i="1"/>
  <c r="K235" i="1"/>
  <c r="G245" i="1"/>
  <c r="D232" i="1"/>
  <c r="H234" i="1"/>
  <c r="J240" i="1"/>
  <c r="M238" i="1"/>
  <c r="L238" i="1"/>
  <c r="I232" i="1"/>
  <c r="I233" i="1"/>
  <c r="K236" i="1"/>
  <c r="L239" i="1"/>
  <c r="M239" i="1"/>
  <c r="J241" i="1"/>
  <c r="H235" i="1"/>
  <c r="G246" i="1"/>
  <c r="D233" i="1"/>
  <c r="D234" i="1"/>
  <c r="I234" i="1"/>
  <c r="G247" i="1"/>
  <c r="H236" i="1"/>
  <c r="L240" i="1"/>
  <c r="J242" i="1"/>
  <c r="M240" i="1"/>
  <c r="K237" i="1"/>
  <c r="K238" i="1"/>
  <c r="M241" i="1"/>
  <c r="D235" i="1"/>
  <c r="J243" i="1"/>
  <c r="H237" i="1"/>
  <c r="L241" i="1"/>
  <c r="G248" i="1"/>
  <c r="I235" i="1"/>
  <c r="I236" i="1"/>
  <c r="D236" i="1"/>
  <c r="G249" i="1"/>
  <c r="K239" i="1"/>
  <c r="L242" i="1"/>
  <c r="H238" i="1"/>
  <c r="J244" i="1"/>
  <c r="M242" i="1"/>
  <c r="M243" i="1"/>
  <c r="G250" i="1"/>
  <c r="J245" i="1"/>
  <c r="D237" i="1"/>
  <c r="I237" i="1"/>
  <c r="H239" i="1"/>
  <c r="L243" i="1"/>
  <c r="K240" i="1"/>
  <c r="K241" i="1"/>
  <c r="J246" i="1"/>
  <c r="L244" i="1"/>
  <c r="H240" i="1"/>
  <c r="I238" i="1"/>
  <c r="M244" i="1"/>
  <c r="D238" i="1"/>
  <c r="G251" i="1"/>
  <c r="G252" i="1"/>
  <c r="D239" i="1"/>
  <c r="M245" i="1"/>
  <c r="I239" i="1"/>
  <c r="L245" i="1"/>
  <c r="H241" i="1"/>
  <c r="J247" i="1"/>
  <c r="K242" i="1"/>
  <c r="K243" i="1"/>
  <c r="J248" i="1"/>
  <c r="H242" i="1"/>
  <c r="L246" i="1"/>
  <c r="I240" i="1"/>
  <c r="M246" i="1"/>
  <c r="G253" i="1"/>
  <c r="D240" i="1"/>
  <c r="D241" i="1"/>
  <c r="K244" i="1"/>
  <c r="G254" i="1"/>
  <c r="H243" i="1"/>
  <c r="M247" i="1"/>
  <c r="I241" i="1"/>
  <c r="L247" i="1"/>
  <c r="J249" i="1"/>
  <c r="J250" i="1"/>
  <c r="L248" i="1"/>
  <c r="I242" i="1"/>
  <c r="M248" i="1"/>
  <c r="H244" i="1"/>
  <c r="G255" i="1"/>
  <c r="D242" i="1"/>
  <c r="K245" i="1"/>
  <c r="K246" i="1"/>
  <c r="D243" i="1"/>
  <c r="G256" i="1"/>
  <c r="J251" i="1"/>
  <c r="H245" i="1"/>
  <c r="M249" i="1"/>
  <c r="I243" i="1"/>
  <c r="L249" i="1"/>
  <c r="L250" i="1"/>
  <c r="H246" i="1"/>
  <c r="I244" i="1"/>
  <c r="M250" i="1"/>
  <c r="J252" i="1"/>
  <c r="G257" i="1"/>
  <c r="D244" i="1"/>
  <c r="K247" i="1"/>
  <c r="K248" i="1"/>
  <c r="M251" i="1"/>
  <c r="M252" i="1" s="1"/>
  <c r="H247" i="1"/>
  <c r="D245" i="1"/>
  <c r="I245" i="1"/>
  <c r="L251" i="1"/>
  <c r="G258" i="1"/>
  <c r="J253" i="1"/>
  <c r="J254" i="1"/>
  <c r="G259" i="1"/>
  <c r="L252" i="1"/>
  <c r="K249" i="1"/>
  <c r="I246" i="1"/>
  <c r="D246" i="1"/>
  <c r="H248" i="1"/>
  <c r="M253" i="1"/>
  <c r="M254" i="1"/>
  <c r="J255" i="1"/>
  <c r="H249" i="1"/>
  <c r="D247" i="1"/>
  <c r="L253" i="1"/>
  <c r="I247" i="1"/>
  <c r="K250" i="1"/>
  <c r="G260" i="1"/>
  <c r="K251" i="1"/>
  <c r="I248" i="1"/>
  <c r="L254" i="1"/>
  <c r="D248" i="1"/>
  <c r="M255" i="1"/>
  <c r="H250" i="1"/>
  <c r="J256" i="1"/>
  <c r="J257" i="1"/>
  <c r="H251" i="1"/>
  <c r="M256" i="1"/>
  <c r="K252" i="1"/>
  <c r="D249" i="1"/>
  <c r="L255" i="1"/>
  <c r="I249" i="1"/>
  <c r="I250" i="1"/>
  <c r="L256" i="1"/>
  <c r="H252" i="1"/>
  <c r="D250" i="1"/>
  <c r="K253" i="1"/>
  <c r="M257" i="1"/>
  <c r="J258" i="1"/>
  <c r="J259" i="1"/>
  <c r="M258" i="1"/>
  <c r="K254" i="1"/>
  <c r="H253" i="1"/>
  <c r="D251" i="1"/>
  <c r="L257" i="1"/>
  <c r="I251" i="1"/>
  <c r="I252" i="1"/>
  <c r="L258" i="1"/>
  <c r="M259" i="1"/>
  <c r="D252" i="1"/>
  <c r="H254" i="1"/>
  <c r="K255" i="1"/>
  <c r="J260" i="1"/>
  <c r="K256" i="1"/>
  <c r="H255" i="1"/>
  <c r="D253" i="1"/>
  <c r="M260" i="1"/>
  <c r="L259" i="1"/>
  <c r="I253" i="1"/>
  <c r="I254" i="1"/>
  <c r="L260" i="1"/>
  <c r="D254" i="1"/>
  <c r="H256" i="1"/>
  <c r="K257" i="1"/>
  <c r="K258" i="1"/>
  <c r="H257" i="1"/>
  <c r="D255" i="1"/>
  <c r="I255" i="1"/>
  <c r="I256" i="1"/>
  <c r="D256" i="1"/>
  <c r="H258" i="1"/>
  <c r="K259" i="1"/>
  <c r="K260" i="1"/>
  <c r="H259" i="1"/>
  <c r="D257" i="1"/>
  <c r="I257" i="1"/>
  <c r="I258" i="1"/>
  <c r="H260" i="1"/>
  <c r="D258" i="1"/>
  <c r="D259" i="1"/>
  <c r="I259" i="1"/>
  <c r="I260" i="1"/>
  <c r="D2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<sst xmlns="http://schemas.openxmlformats.org/spreadsheetml/2006/main" count="29" uniqueCount="16">
  <si>
    <t>r</t>
  </si>
  <si>
    <t>sigma</t>
  </si>
  <si>
    <t>S0</t>
  </si>
  <si>
    <t>N</t>
  </si>
  <si>
    <t>T</t>
  </si>
  <si>
    <t>S2dt</t>
  </si>
  <si>
    <t>K</t>
  </si>
  <si>
    <t>B</t>
  </si>
  <si>
    <t>M</t>
  </si>
  <si>
    <t>DOC Price</t>
  </si>
  <si>
    <t>UIP Price</t>
  </si>
  <si>
    <t>Lookback Call</t>
  </si>
  <si>
    <t>Lookback Put</t>
  </si>
  <si>
    <t>S3dt</t>
  </si>
  <si>
    <t>S4dt</t>
  </si>
  <si>
    <t>S1dt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</si>
</sst>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590039046364319E-2"/>
          <c:y val="2.517424791479848E-2"/>
          <c:w val="0.82785553957561064"/>
          <c:h val="0.918545743404539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Trajectoires!$D$8:$D$260</c:f>
              <c:numCache>
                <c:formatCode>General</c:formatCode>
                <c:ptCount val="253"/>
                <c:pt idx="0">
                  <c:v>100</c:v>
                </c:pt>
                <c:pt idx="1">
                  <c:v>99.542426891720623</c:v>
                </c:pt>
                <c:pt idx="2">
                  <c:v>100.55494194336008</c:v>
                </c:pt>
                <c:pt idx="3">
                  <c:v>99.713974384380748</c:v>
                </c:pt>
                <c:pt idx="4">
                  <c:v>100.42463773117804</c:v>
                </c:pt>
                <c:pt idx="5">
                  <c:v>99.075330672632163</c:v>
                </c:pt>
                <c:pt idx="6">
                  <c:v>98.321669160137873</c:v>
                </c:pt>
                <c:pt idx="7">
                  <c:v>99.511023556929842</c:v>
                </c:pt>
                <c:pt idx="8">
                  <c:v>96.299940603293706</c:v>
                </c:pt>
                <c:pt idx="9">
                  <c:v>97.405985027437652</c:v>
                </c:pt>
                <c:pt idx="10">
                  <c:v>97.4489188189592</c:v>
                </c:pt>
                <c:pt idx="11">
                  <c:v>97.10301016606347</c:v>
                </c:pt>
                <c:pt idx="12">
                  <c:v>96.52967943412915</c:v>
                </c:pt>
                <c:pt idx="13">
                  <c:v>95.52829965841309</c:v>
                </c:pt>
                <c:pt idx="14">
                  <c:v>97.196313550024229</c:v>
                </c:pt>
                <c:pt idx="15">
                  <c:v>96.746788101458066</c:v>
                </c:pt>
                <c:pt idx="16">
                  <c:v>97.829684880520162</c:v>
                </c:pt>
                <c:pt idx="17">
                  <c:v>96.808631954597274</c:v>
                </c:pt>
                <c:pt idx="18">
                  <c:v>96.437719470973207</c:v>
                </c:pt>
                <c:pt idx="19">
                  <c:v>97.544548380498469</c:v>
                </c:pt>
                <c:pt idx="20">
                  <c:v>96.175431865053795</c:v>
                </c:pt>
                <c:pt idx="21">
                  <c:v>96.799845488631632</c:v>
                </c:pt>
                <c:pt idx="22">
                  <c:v>95.96798321388745</c:v>
                </c:pt>
                <c:pt idx="23">
                  <c:v>98.47144473615046</c:v>
                </c:pt>
                <c:pt idx="24">
                  <c:v>101.62068663135483</c:v>
                </c:pt>
                <c:pt idx="25">
                  <c:v>102.77565590219309</c:v>
                </c:pt>
                <c:pt idx="26">
                  <c:v>103.08753474008215</c:v>
                </c:pt>
                <c:pt idx="27">
                  <c:v>105.66957767469196</c:v>
                </c:pt>
                <c:pt idx="28">
                  <c:v>107.19931956415202</c:v>
                </c:pt>
                <c:pt idx="29">
                  <c:v>104.14849117570215</c:v>
                </c:pt>
                <c:pt idx="30">
                  <c:v>105.74270285130785</c:v>
                </c:pt>
                <c:pt idx="31">
                  <c:v>104.01364859999359</c:v>
                </c:pt>
                <c:pt idx="32">
                  <c:v>106.03449074280788</c:v>
                </c:pt>
                <c:pt idx="33">
                  <c:v>104.2622700317547</c:v>
                </c:pt>
                <c:pt idx="34">
                  <c:v>106.22857192348033</c:v>
                </c:pt>
                <c:pt idx="35">
                  <c:v>106.2200389101029</c:v>
                </c:pt>
                <c:pt idx="36">
                  <c:v>109.40579848287456</c:v>
                </c:pt>
                <c:pt idx="37">
                  <c:v>108.58561198363802</c:v>
                </c:pt>
                <c:pt idx="38">
                  <c:v>106.20876338214147</c:v>
                </c:pt>
                <c:pt idx="39">
                  <c:v>106.05324858187809</c:v>
                </c:pt>
                <c:pt idx="40">
                  <c:v>104.88175756391085</c:v>
                </c:pt>
                <c:pt idx="41">
                  <c:v>103.97833577080071</c:v>
                </c:pt>
                <c:pt idx="42">
                  <c:v>104.1403866179961</c:v>
                </c:pt>
                <c:pt idx="43">
                  <c:v>102.30524011611523</c:v>
                </c:pt>
                <c:pt idx="44">
                  <c:v>102.86722997529097</c:v>
                </c:pt>
                <c:pt idx="45">
                  <c:v>103.26670414464846</c:v>
                </c:pt>
                <c:pt idx="46">
                  <c:v>103.30775874361578</c:v>
                </c:pt>
                <c:pt idx="47">
                  <c:v>100.00516956732521</c:v>
                </c:pt>
                <c:pt idx="48">
                  <c:v>99.792429035225112</c:v>
                </c:pt>
                <c:pt idx="49">
                  <c:v>98.656797369696136</c:v>
                </c:pt>
                <c:pt idx="50">
                  <c:v>99.600956175084164</c:v>
                </c:pt>
                <c:pt idx="51">
                  <c:v>100.55743760478667</c:v>
                </c:pt>
                <c:pt idx="52">
                  <c:v>100.91458523759314</c:v>
                </c:pt>
                <c:pt idx="53">
                  <c:v>100.71069419736779</c:v>
                </c:pt>
                <c:pt idx="54">
                  <c:v>101.09817490067</c:v>
                </c:pt>
                <c:pt idx="55">
                  <c:v>102.38197873367258</c:v>
                </c:pt>
                <c:pt idx="56">
                  <c:v>101.31771196318931</c:v>
                </c:pt>
                <c:pt idx="57">
                  <c:v>101.23184679704961</c:v>
                </c:pt>
                <c:pt idx="58">
                  <c:v>99.509264910530518</c:v>
                </c:pt>
                <c:pt idx="59">
                  <c:v>99.474189745408651</c:v>
                </c:pt>
                <c:pt idx="60">
                  <c:v>101.14794693212986</c:v>
                </c:pt>
                <c:pt idx="61">
                  <c:v>101.43526222317053</c:v>
                </c:pt>
                <c:pt idx="62">
                  <c:v>100.92540455815552</c:v>
                </c:pt>
                <c:pt idx="63">
                  <c:v>102.49166911966755</c:v>
                </c:pt>
                <c:pt idx="64">
                  <c:v>101.04926008801429</c:v>
                </c:pt>
                <c:pt idx="65">
                  <c:v>101.57790125256805</c:v>
                </c:pt>
                <c:pt idx="66">
                  <c:v>100.82942595375322</c:v>
                </c:pt>
                <c:pt idx="67">
                  <c:v>103.7359254189199</c:v>
                </c:pt>
                <c:pt idx="68">
                  <c:v>105.09212219952563</c:v>
                </c:pt>
                <c:pt idx="69">
                  <c:v>106.09864791175589</c:v>
                </c:pt>
                <c:pt idx="70">
                  <c:v>105.99839727045709</c:v>
                </c:pt>
                <c:pt idx="71">
                  <c:v>107.11092636894566</c:v>
                </c:pt>
                <c:pt idx="72">
                  <c:v>110.4838473907366</c:v>
                </c:pt>
                <c:pt idx="73">
                  <c:v>111.12020584792366</c:v>
                </c:pt>
                <c:pt idx="74">
                  <c:v>110.39678020704216</c:v>
                </c:pt>
                <c:pt idx="75">
                  <c:v>110.34927973895064</c:v>
                </c:pt>
                <c:pt idx="76">
                  <c:v>108.32203055716542</c:v>
                </c:pt>
                <c:pt idx="77">
                  <c:v>109.55048944784389</c:v>
                </c:pt>
                <c:pt idx="78">
                  <c:v>109.39749954398475</c:v>
                </c:pt>
                <c:pt idx="79">
                  <c:v>109.50354291290117</c:v>
                </c:pt>
                <c:pt idx="80">
                  <c:v>108.08663173993241</c:v>
                </c:pt>
                <c:pt idx="81">
                  <c:v>109.96020121670405</c:v>
                </c:pt>
                <c:pt idx="82">
                  <c:v>110.24460262586281</c:v>
                </c:pt>
                <c:pt idx="83">
                  <c:v>110.03785376582272</c:v>
                </c:pt>
                <c:pt idx="84">
                  <c:v>110.33279830430895</c:v>
                </c:pt>
                <c:pt idx="85">
                  <c:v>108.04027941517751</c:v>
                </c:pt>
                <c:pt idx="86">
                  <c:v>107.33849006341973</c:v>
                </c:pt>
                <c:pt idx="87">
                  <c:v>108.8874708078431</c:v>
                </c:pt>
                <c:pt idx="88">
                  <c:v>108.39185220738263</c:v>
                </c:pt>
                <c:pt idx="89">
                  <c:v>109.20028683950292</c:v>
                </c:pt>
                <c:pt idx="90">
                  <c:v>107.22229729103461</c:v>
                </c:pt>
                <c:pt idx="91">
                  <c:v>106.70500523608979</c:v>
                </c:pt>
                <c:pt idx="92">
                  <c:v>106.87329085630003</c:v>
                </c:pt>
                <c:pt idx="93">
                  <c:v>107.33035635581139</c:v>
                </c:pt>
                <c:pt idx="94">
                  <c:v>107.40031278641973</c:v>
                </c:pt>
                <c:pt idx="95">
                  <c:v>108.68475592934034</c:v>
                </c:pt>
                <c:pt idx="96">
                  <c:v>110.89122432330223</c:v>
                </c:pt>
                <c:pt idx="97">
                  <c:v>110.02873329128217</c:v>
                </c:pt>
                <c:pt idx="98">
                  <c:v>110.13326883750075</c:v>
                </c:pt>
                <c:pt idx="99">
                  <c:v>109.89432723771989</c:v>
                </c:pt>
                <c:pt idx="100">
                  <c:v>110.8682658867056</c:v>
                </c:pt>
                <c:pt idx="101">
                  <c:v>110.62000027873792</c:v>
                </c:pt>
                <c:pt idx="102">
                  <c:v>112.87426272448873</c:v>
                </c:pt>
                <c:pt idx="103">
                  <c:v>113.37728754864928</c:v>
                </c:pt>
                <c:pt idx="104">
                  <c:v>112.99854528457101</c:v>
                </c:pt>
                <c:pt idx="105">
                  <c:v>113.1621967582534</c:v>
                </c:pt>
                <c:pt idx="106">
                  <c:v>110.82027336638357</c:v>
                </c:pt>
                <c:pt idx="107">
                  <c:v>109.18450427131347</c:v>
                </c:pt>
                <c:pt idx="108">
                  <c:v>111.41438069966328</c:v>
                </c:pt>
                <c:pt idx="109">
                  <c:v>112.5860101306256</c:v>
                </c:pt>
                <c:pt idx="110">
                  <c:v>112.95522560163847</c:v>
                </c:pt>
                <c:pt idx="111">
                  <c:v>113.16318155049022</c:v>
                </c:pt>
                <c:pt idx="112">
                  <c:v>112.32519777022161</c:v>
                </c:pt>
                <c:pt idx="113">
                  <c:v>113.01071859480209</c:v>
                </c:pt>
                <c:pt idx="114">
                  <c:v>112.27463586028338</c:v>
                </c:pt>
                <c:pt idx="115">
                  <c:v>110.38943977531981</c:v>
                </c:pt>
                <c:pt idx="116">
                  <c:v>110.43495145224621</c:v>
                </c:pt>
                <c:pt idx="117">
                  <c:v>113.13436919183182</c:v>
                </c:pt>
                <c:pt idx="118">
                  <c:v>114.13806852285295</c:v>
                </c:pt>
                <c:pt idx="119">
                  <c:v>114.42318424880503</c:v>
                </c:pt>
                <c:pt idx="120">
                  <c:v>112.29801585299722</c:v>
                </c:pt>
                <c:pt idx="121">
                  <c:v>112.79687681051537</c:v>
                </c:pt>
                <c:pt idx="122">
                  <c:v>112.66153656076216</c:v>
                </c:pt>
                <c:pt idx="123">
                  <c:v>112.59970217176891</c:v>
                </c:pt>
                <c:pt idx="124">
                  <c:v>113.99259922081539</c:v>
                </c:pt>
                <c:pt idx="125">
                  <c:v>112.72307205173419</c:v>
                </c:pt>
                <c:pt idx="126">
                  <c:v>112.51292912082299</c:v>
                </c:pt>
                <c:pt idx="127">
                  <c:v>111.97980661378223</c:v>
                </c:pt>
                <c:pt idx="128">
                  <c:v>110.11499418797538</c:v>
                </c:pt>
                <c:pt idx="129">
                  <c:v>107.56023858878058</c:v>
                </c:pt>
                <c:pt idx="130">
                  <c:v>106.94681096049599</c:v>
                </c:pt>
                <c:pt idx="131">
                  <c:v>109.76316286860413</c:v>
                </c:pt>
                <c:pt idx="132">
                  <c:v>112.24730325009007</c:v>
                </c:pt>
                <c:pt idx="133">
                  <c:v>108.99103839703812</c:v>
                </c:pt>
                <c:pt idx="134">
                  <c:v>107.47459375287352</c:v>
                </c:pt>
                <c:pt idx="135">
                  <c:v>106.30681506546486</c:v>
                </c:pt>
                <c:pt idx="136">
                  <c:v>108.46553084576209</c:v>
                </c:pt>
                <c:pt idx="137">
                  <c:v>107.06103757959112</c:v>
                </c:pt>
                <c:pt idx="138">
                  <c:v>107.37533366790923</c:v>
                </c:pt>
                <c:pt idx="139">
                  <c:v>109.09601960633272</c:v>
                </c:pt>
                <c:pt idx="140">
                  <c:v>108.65579076410151</c:v>
                </c:pt>
                <c:pt idx="141">
                  <c:v>109.59585218893076</c:v>
                </c:pt>
                <c:pt idx="142">
                  <c:v>108.72289317039414</c:v>
                </c:pt>
                <c:pt idx="143">
                  <c:v>111.00384507134903</c:v>
                </c:pt>
                <c:pt idx="144">
                  <c:v>109.36218928407767</c:v>
                </c:pt>
                <c:pt idx="145">
                  <c:v>108.67865151228958</c:v>
                </c:pt>
                <c:pt idx="146">
                  <c:v>111.56576783783019</c:v>
                </c:pt>
                <c:pt idx="147">
                  <c:v>111.11323951841975</c:v>
                </c:pt>
                <c:pt idx="148">
                  <c:v>111.48963481593717</c:v>
                </c:pt>
                <c:pt idx="149">
                  <c:v>113.29402096123485</c:v>
                </c:pt>
                <c:pt idx="150">
                  <c:v>116.03048003080058</c:v>
                </c:pt>
                <c:pt idx="151">
                  <c:v>113.55653429462149</c:v>
                </c:pt>
                <c:pt idx="152">
                  <c:v>112.4694025626507</c:v>
                </c:pt>
                <c:pt idx="153">
                  <c:v>110.15647923984235</c:v>
                </c:pt>
                <c:pt idx="154">
                  <c:v>111.30856195975809</c:v>
                </c:pt>
                <c:pt idx="155">
                  <c:v>110.17757301919237</c:v>
                </c:pt>
                <c:pt idx="156">
                  <c:v>108.7812937400154</c:v>
                </c:pt>
                <c:pt idx="157">
                  <c:v>108.58307080512466</c:v>
                </c:pt>
                <c:pt idx="158">
                  <c:v>108.42401845665266</c:v>
                </c:pt>
                <c:pt idx="159">
                  <c:v>108.53595557947331</c:v>
                </c:pt>
                <c:pt idx="160">
                  <c:v>108.46059009043718</c:v>
                </c:pt>
                <c:pt idx="161">
                  <c:v>110.29468363758842</c:v>
                </c:pt>
                <c:pt idx="162">
                  <c:v>107.97083431726294</c:v>
                </c:pt>
                <c:pt idx="163">
                  <c:v>109.31770221059288</c:v>
                </c:pt>
                <c:pt idx="164">
                  <c:v>109.53890599574881</c:v>
                </c:pt>
                <c:pt idx="165">
                  <c:v>109.71793467575687</c:v>
                </c:pt>
                <c:pt idx="166">
                  <c:v>111.1031105988373</c:v>
                </c:pt>
                <c:pt idx="167">
                  <c:v>112.2884741336178</c:v>
                </c:pt>
                <c:pt idx="168">
                  <c:v>114.27840003540521</c:v>
                </c:pt>
                <c:pt idx="169">
                  <c:v>111.10657711834347</c:v>
                </c:pt>
                <c:pt idx="170">
                  <c:v>110.01938283604761</c:v>
                </c:pt>
                <c:pt idx="171">
                  <c:v>111.06371962346677</c:v>
                </c:pt>
                <c:pt idx="172">
                  <c:v>112.2531213461619</c:v>
                </c:pt>
                <c:pt idx="173">
                  <c:v>112.64324342190058</c:v>
                </c:pt>
                <c:pt idx="174">
                  <c:v>111.60071427349919</c:v>
                </c:pt>
                <c:pt idx="175">
                  <c:v>111.8632530352675</c:v>
                </c:pt>
                <c:pt idx="176">
                  <c:v>110.40137309491602</c:v>
                </c:pt>
                <c:pt idx="177">
                  <c:v>109.92603792856316</c:v>
                </c:pt>
                <c:pt idx="178">
                  <c:v>107.94955052697519</c:v>
                </c:pt>
                <c:pt idx="179">
                  <c:v>108.67329148653063</c:v>
                </c:pt>
                <c:pt idx="180">
                  <c:v>111.81828191551602</c:v>
                </c:pt>
                <c:pt idx="181">
                  <c:v>110.24087482544203</c:v>
                </c:pt>
                <c:pt idx="182">
                  <c:v>109.13353190837266</c:v>
                </c:pt>
                <c:pt idx="183">
                  <c:v>110.37958427849111</c:v>
                </c:pt>
                <c:pt idx="184">
                  <c:v>107.83771169707489</c:v>
                </c:pt>
                <c:pt idx="185">
                  <c:v>107.56852432609257</c:v>
                </c:pt>
                <c:pt idx="186">
                  <c:v>107.9911930188109</c:v>
                </c:pt>
                <c:pt idx="187">
                  <c:v>108.75578230875183</c:v>
                </c:pt>
                <c:pt idx="188">
                  <c:v>109.45945474953467</c:v>
                </c:pt>
                <c:pt idx="189">
                  <c:v>112.34943322107472</c:v>
                </c:pt>
                <c:pt idx="190">
                  <c:v>112.21068918822847</c:v>
                </c:pt>
                <c:pt idx="191">
                  <c:v>113.81377099001151</c:v>
                </c:pt>
                <c:pt idx="192">
                  <c:v>114.97121622341947</c:v>
                </c:pt>
                <c:pt idx="193">
                  <c:v>115.31886838702573</c:v>
                </c:pt>
                <c:pt idx="194">
                  <c:v>113.07500571181319</c:v>
                </c:pt>
                <c:pt idx="195">
                  <c:v>113.03947782259395</c:v>
                </c:pt>
                <c:pt idx="196">
                  <c:v>112.70109762339359</c:v>
                </c:pt>
                <c:pt idx="197">
                  <c:v>115.02347054437584</c:v>
                </c:pt>
                <c:pt idx="198">
                  <c:v>115.36217321820142</c:v>
                </c:pt>
                <c:pt idx="199">
                  <c:v>116.90967121314192</c:v>
                </c:pt>
                <c:pt idx="200">
                  <c:v>118.84949143424602</c:v>
                </c:pt>
                <c:pt idx="201">
                  <c:v>116.56855447297283</c:v>
                </c:pt>
                <c:pt idx="202">
                  <c:v>116.6802598351574</c:v>
                </c:pt>
                <c:pt idx="203">
                  <c:v>117.44812218311907</c:v>
                </c:pt>
                <c:pt idx="204">
                  <c:v>121.87378638152489</c:v>
                </c:pt>
                <c:pt idx="205">
                  <c:v>122.78037475791876</c:v>
                </c:pt>
                <c:pt idx="206">
                  <c:v>120.24296910643332</c:v>
                </c:pt>
                <c:pt idx="207">
                  <c:v>119.25336763550888</c:v>
                </c:pt>
                <c:pt idx="208">
                  <c:v>118.38578760941951</c:v>
                </c:pt>
                <c:pt idx="209">
                  <c:v>118.95777517718537</c:v>
                </c:pt>
                <c:pt idx="210">
                  <c:v>116.51103147490181</c:v>
                </c:pt>
                <c:pt idx="211">
                  <c:v>117.53592518016463</c:v>
                </c:pt>
                <c:pt idx="212">
                  <c:v>118.09469799012344</c:v>
                </c:pt>
                <c:pt idx="213">
                  <c:v>116.60350750133249</c:v>
                </c:pt>
                <c:pt idx="214">
                  <c:v>118.50052319039861</c:v>
                </c:pt>
                <c:pt idx="215">
                  <c:v>118.0929780280361</c:v>
                </c:pt>
                <c:pt idx="216">
                  <c:v>117.34401303625164</c:v>
                </c:pt>
                <c:pt idx="217">
                  <c:v>120.37327963714954</c:v>
                </c:pt>
                <c:pt idx="218">
                  <c:v>120.77151076649174</c:v>
                </c:pt>
                <c:pt idx="219">
                  <c:v>119.44699632885033</c:v>
                </c:pt>
                <c:pt idx="220">
                  <c:v>118.30380842259247</c:v>
                </c:pt>
                <c:pt idx="221">
                  <c:v>116.81900970836253</c:v>
                </c:pt>
                <c:pt idx="222">
                  <c:v>120.29037601578563</c:v>
                </c:pt>
                <c:pt idx="223">
                  <c:v>117.92640339904814</c:v>
                </c:pt>
                <c:pt idx="224">
                  <c:v>115.68978769691596</c:v>
                </c:pt>
                <c:pt idx="225">
                  <c:v>115.93651329634562</c:v>
                </c:pt>
                <c:pt idx="226">
                  <c:v>116.26563398655711</c:v>
                </c:pt>
                <c:pt idx="227">
                  <c:v>116.08895187217226</c:v>
                </c:pt>
                <c:pt idx="228">
                  <c:v>115.04981333998099</c:v>
                </c:pt>
                <c:pt idx="229">
                  <c:v>114.24472510575109</c:v>
                </c:pt>
                <c:pt idx="230">
                  <c:v>113.92924322437689</c:v>
                </c:pt>
                <c:pt idx="231">
                  <c:v>114.94799771968336</c:v>
                </c:pt>
                <c:pt idx="232">
                  <c:v>112.21064286632394</c:v>
                </c:pt>
                <c:pt idx="233">
                  <c:v>112.58042425418201</c:v>
                </c:pt>
                <c:pt idx="234">
                  <c:v>110.15589685412468</c:v>
                </c:pt>
                <c:pt idx="235">
                  <c:v>109.86639689713098</c:v>
                </c:pt>
                <c:pt idx="236">
                  <c:v>109.86308463261611</c:v>
                </c:pt>
                <c:pt idx="237">
                  <c:v>110.94577296194343</c:v>
                </c:pt>
                <c:pt idx="238">
                  <c:v>110.32970557973974</c:v>
                </c:pt>
                <c:pt idx="239">
                  <c:v>109.13469956854607</c:v>
                </c:pt>
                <c:pt idx="240">
                  <c:v>110.19518922814294</c:v>
                </c:pt>
                <c:pt idx="241">
                  <c:v>109.20016373483105</c:v>
                </c:pt>
                <c:pt idx="242">
                  <c:v>110.82745374166969</c:v>
                </c:pt>
                <c:pt idx="243">
                  <c:v>111.13375486528615</c:v>
                </c:pt>
                <c:pt idx="244">
                  <c:v>112.72363515675444</c:v>
                </c:pt>
                <c:pt idx="245">
                  <c:v>115.65714173874171</c:v>
                </c:pt>
                <c:pt idx="246">
                  <c:v>113.29868124574696</c:v>
                </c:pt>
                <c:pt idx="247">
                  <c:v>113.23903204886808</c:v>
                </c:pt>
                <c:pt idx="248">
                  <c:v>115.58472196148743</c:v>
                </c:pt>
                <c:pt idx="249">
                  <c:v>115.05857313336959</c:v>
                </c:pt>
                <c:pt idx="250">
                  <c:v>115.39847400572036</c:v>
                </c:pt>
                <c:pt idx="251">
                  <c:v>115.7026105606602</c:v>
                </c:pt>
                <c:pt idx="252">
                  <c:v>114.24897430228295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6-424B-B710-4E50FBAF585F}"/>
            </c:ext>
          </c:extLst>
        </c:ser>
        <c:ser>
          <c:idx val="1"/>
          <c:order val="1"/>
          <c:marker>
            <c:symbol val="none"/>
          </c:marker>
          <c:val>
            <c:numRef>
              <c:f>Trajectoires!$E$8:$E$260</c:f>
              <c:numCache>
                <c:formatCode>General</c:formatCode>
                <c:ptCount val="253"/>
                <c:pt idx="0">
                  <c:v>100</c:v>
                </c:pt>
                <c:pt idx="1">
                  <c:v>100.66733572971958</c:v>
                </c:pt>
                <c:pt idx="2">
                  <c:v>101.61284285367125</c:v>
                </c:pt>
                <c:pt idx="3">
                  <c:v>101.62396487948486</c:v>
                </c:pt>
                <c:pt idx="4">
                  <c:v>103.21763853536943</c:v>
                </c:pt>
                <c:pt idx="5">
                  <c:v>100.7483948193459</c:v>
                </c:pt>
                <c:pt idx="6">
                  <c:v>101.910846338713</c:v>
                </c:pt>
                <c:pt idx="7">
                  <c:v>102.19259836374636</c:v>
                </c:pt>
                <c:pt idx="8">
                  <c:v>102.66506270583648</c:v>
                </c:pt>
                <c:pt idx="9">
                  <c:v>103.00530039928032</c:v>
                </c:pt>
                <c:pt idx="10">
                  <c:v>103.40071426087174</c:v>
                </c:pt>
                <c:pt idx="11">
                  <c:v>103.71736746545179</c:v>
                </c:pt>
                <c:pt idx="12">
                  <c:v>104.58288929609401</c:v>
                </c:pt>
                <c:pt idx="13">
                  <c:v>105.21117766015209</c:v>
                </c:pt>
                <c:pt idx="14">
                  <c:v>103.28299385788617</c:v>
                </c:pt>
                <c:pt idx="15">
                  <c:v>104.82779946938173</c:v>
                </c:pt>
                <c:pt idx="16">
                  <c:v>105.21924391086283</c:v>
                </c:pt>
                <c:pt idx="17">
                  <c:v>107.42921781834862</c:v>
                </c:pt>
                <c:pt idx="18">
                  <c:v>105.58547927519776</c:v>
                </c:pt>
                <c:pt idx="19">
                  <c:v>104.16072212750063</c:v>
                </c:pt>
                <c:pt idx="20">
                  <c:v>102.14732059007406</c:v>
                </c:pt>
                <c:pt idx="21">
                  <c:v>102.64645563049976</c:v>
                </c:pt>
                <c:pt idx="22">
                  <c:v>101.9433179063865</c:v>
                </c:pt>
                <c:pt idx="23">
                  <c:v>101.51707903123049</c:v>
                </c:pt>
                <c:pt idx="24">
                  <c:v>100.45877609128122</c:v>
                </c:pt>
                <c:pt idx="25">
                  <c:v>100.08580541858952</c:v>
                </c:pt>
                <c:pt idx="26">
                  <c:v>101.71078973974512</c:v>
                </c:pt>
                <c:pt idx="27">
                  <c:v>104.29788648195949</c:v>
                </c:pt>
                <c:pt idx="28">
                  <c:v>104.19078949100208</c:v>
                </c:pt>
                <c:pt idx="29">
                  <c:v>103.62050750961151</c:v>
                </c:pt>
                <c:pt idx="30">
                  <c:v>105.02765237882279</c:v>
                </c:pt>
                <c:pt idx="31">
                  <c:v>105.3220611811665</c:v>
                </c:pt>
                <c:pt idx="32">
                  <c:v>109.80530397173523</c:v>
                </c:pt>
                <c:pt idx="33">
                  <c:v>109.69305997152196</c:v>
                </c:pt>
                <c:pt idx="34">
                  <c:v>110.97591652278808</c:v>
                </c:pt>
                <c:pt idx="35">
                  <c:v>110.39328373031192</c:v>
                </c:pt>
                <c:pt idx="36">
                  <c:v>110.8907343991568</c:v>
                </c:pt>
                <c:pt idx="37">
                  <c:v>110.63166020321165</c:v>
                </c:pt>
                <c:pt idx="38">
                  <c:v>111.39185430536402</c:v>
                </c:pt>
                <c:pt idx="39">
                  <c:v>109.43104303768</c:v>
                </c:pt>
                <c:pt idx="40">
                  <c:v>109.07971670851347</c:v>
                </c:pt>
                <c:pt idx="41">
                  <c:v>110.71491861359377</c:v>
                </c:pt>
                <c:pt idx="42">
                  <c:v>111.34829888336444</c:v>
                </c:pt>
                <c:pt idx="43">
                  <c:v>108.73926627207844</c:v>
                </c:pt>
                <c:pt idx="44">
                  <c:v>108.81637719087527</c:v>
                </c:pt>
                <c:pt idx="45">
                  <c:v>110.13246276751327</c:v>
                </c:pt>
                <c:pt idx="46">
                  <c:v>110.84630278934654</c:v>
                </c:pt>
                <c:pt idx="47">
                  <c:v>111.90921545081684</c:v>
                </c:pt>
                <c:pt idx="48">
                  <c:v>112.73062571139525</c:v>
                </c:pt>
                <c:pt idx="49">
                  <c:v>111.75783531798785</c:v>
                </c:pt>
                <c:pt idx="50">
                  <c:v>110.81334227011278</c:v>
                </c:pt>
                <c:pt idx="51">
                  <c:v>108.7907669614716</c:v>
                </c:pt>
                <c:pt idx="52">
                  <c:v>107.56118908706804</c:v>
                </c:pt>
                <c:pt idx="53">
                  <c:v>107.75545725723707</c:v>
                </c:pt>
                <c:pt idx="54">
                  <c:v>107.47616882393484</c:v>
                </c:pt>
                <c:pt idx="55">
                  <c:v>105.67355971792239</c:v>
                </c:pt>
                <c:pt idx="56">
                  <c:v>104.63141656299928</c:v>
                </c:pt>
                <c:pt idx="57">
                  <c:v>102.943839463822</c:v>
                </c:pt>
                <c:pt idx="58">
                  <c:v>104.66911632962358</c:v>
                </c:pt>
                <c:pt idx="59">
                  <c:v>105.37201305243089</c:v>
                </c:pt>
                <c:pt idx="60">
                  <c:v>104.99051410511615</c:v>
                </c:pt>
                <c:pt idx="61">
                  <c:v>105.44903852628782</c:v>
                </c:pt>
                <c:pt idx="62">
                  <c:v>104.70557305591699</c:v>
                </c:pt>
                <c:pt idx="63">
                  <c:v>105.78358337013877</c:v>
                </c:pt>
                <c:pt idx="64">
                  <c:v>107.7184341177762</c:v>
                </c:pt>
                <c:pt idx="65">
                  <c:v>109.36393630805797</c:v>
                </c:pt>
                <c:pt idx="66">
                  <c:v>109.34681888353565</c:v>
                </c:pt>
                <c:pt idx="67">
                  <c:v>109.00815242496719</c:v>
                </c:pt>
                <c:pt idx="68">
                  <c:v>108.9304012843408</c:v>
                </c:pt>
                <c:pt idx="69">
                  <c:v>107.81311810562778</c:v>
                </c:pt>
                <c:pt idx="70">
                  <c:v>107.93858774821322</c:v>
                </c:pt>
                <c:pt idx="71">
                  <c:v>107.4354812234622</c:v>
                </c:pt>
                <c:pt idx="72">
                  <c:v>107.54568812745764</c:v>
                </c:pt>
                <c:pt idx="73">
                  <c:v>107.2030365021307</c:v>
                </c:pt>
                <c:pt idx="74">
                  <c:v>107.04033867844463</c:v>
                </c:pt>
                <c:pt idx="75">
                  <c:v>104.86268348090934</c:v>
                </c:pt>
                <c:pt idx="76">
                  <c:v>101.9189652272745</c:v>
                </c:pt>
                <c:pt idx="77">
                  <c:v>102.60222914001181</c:v>
                </c:pt>
                <c:pt idx="78">
                  <c:v>103.13899796689108</c:v>
                </c:pt>
                <c:pt idx="79">
                  <c:v>102.96597924018283</c:v>
                </c:pt>
                <c:pt idx="80">
                  <c:v>102.40669205019636</c:v>
                </c:pt>
                <c:pt idx="81">
                  <c:v>104.45121624496051</c:v>
                </c:pt>
                <c:pt idx="82">
                  <c:v>105.4699732779948</c:v>
                </c:pt>
                <c:pt idx="83">
                  <c:v>105.51049765618627</c:v>
                </c:pt>
                <c:pt idx="84">
                  <c:v>106.0114714774019</c:v>
                </c:pt>
                <c:pt idx="85">
                  <c:v>104.55812133164366</c:v>
                </c:pt>
                <c:pt idx="86">
                  <c:v>103.8655486861983</c:v>
                </c:pt>
                <c:pt idx="87">
                  <c:v>106.21002086498014</c:v>
                </c:pt>
                <c:pt idx="88">
                  <c:v>106.68344000411155</c:v>
                </c:pt>
                <c:pt idx="89">
                  <c:v>107.92895780294263</c:v>
                </c:pt>
                <c:pt idx="90">
                  <c:v>107.44174339677039</c:v>
                </c:pt>
                <c:pt idx="91">
                  <c:v>106.65809207615072</c:v>
                </c:pt>
                <c:pt idx="92">
                  <c:v>106.67306383100666</c:v>
                </c:pt>
                <c:pt idx="93">
                  <c:v>106.79214986328442</c:v>
                </c:pt>
                <c:pt idx="94">
                  <c:v>108.21674302444552</c:v>
                </c:pt>
                <c:pt idx="95">
                  <c:v>108.7119341308086</c:v>
                </c:pt>
                <c:pt idx="96">
                  <c:v>110.75001894326049</c:v>
                </c:pt>
                <c:pt idx="97">
                  <c:v>110.34278601835423</c:v>
                </c:pt>
                <c:pt idx="98">
                  <c:v>109.25644994594076</c:v>
                </c:pt>
                <c:pt idx="99">
                  <c:v>108.96326222833545</c:v>
                </c:pt>
                <c:pt idx="100">
                  <c:v>107.37399360961538</c:v>
                </c:pt>
                <c:pt idx="101">
                  <c:v>108.98437415345586</c:v>
                </c:pt>
                <c:pt idx="102">
                  <c:v>108.91737547396596</c:v>
                </c:pt>
                <c:pt idx="103">
                  <c:v>111.42887935485555</c:v>
                </c:pt>
                <c:pt idx="104">
                  <c:v>111.22752444643859</c:v>
                </c:pt>
                <c:pt idx="105">
                  <c:v>108.75752116222547</c:v>
                </c:pt>
                <c:pt idx="106">
                  <c:v>108.49791020595895</c:v>
                </c:pt>
                <c:pt idx="107">
                  <c:v>108.28243024392869</c:v>
                </c:pt>
                <c:pt idx="108">
                  <c:v>107.518180099909</c:v>
                </c:pt>
                <c:pt idx="109">
                  <c:v>104.35470700477744</c:v>
                </c:pt>
                <c:pt idx="110">
                  <c:v>104.87102752402585</c:v>
                </c:pt>
                <c:pt idx="111">
                  <c:v>103.31133856161229</c:v>
                </c:pt>
                <c:pt idx="112">
                  <c:v>103.9136348385049</c:v>
                </c:pt>
                <c:pt idx="113">
                  <c:v>102.92888739235063</c:v>
                </c:pt>
                <c:pt idx="114">
                  <c:v>103.56200125256983</c:v>
                </c:pt>
                <c:pt idx="115">
                  <c:v>103.54918221450096</c:v>
                </c:pt>
                <c:pt idx="116">
                  <c:v>103.75175665497464</c:v>
                </c:pt>
                <c:pt idx="117">
                  <c:v>103.19906105651698</c:v>
                </c:pt>
                <c:pt idx="118">
                  <c:v>103.82407928430878</c:v>
                </c:pt>
                <c:pt idx="119">
                  <c:v>103.88892221702802</c:v>
                </c:pt>
                <c:pt idx="120">
                  <c:v>104.13578482148233</c:v>
                </c:pt>
                <c:pt idx="121">
                  <c:v>103.54897013342691</c:v>
                </c:pt>
                <c:pt idx="122">
                  <c:v>101.03789780958731</c:v>
                </c:pt>
                <c:pt idx="123">
                  <c:v>99.343538072277568</c:v>
                </c:pt>
                <c:pt idx="124">
                  <c:v>99.92309491210078</c:v>
                </c:pt>
                <c:pt idx="125">
                  <c:v>98.899024904368304</c:v>
                </c:pt>
                <c:pt idx="126">
                  <c:v>98.346206653505959</c:v>
                </c:pt>
                <c:pt idx="127">
                  <c:v>98.48804101288286</c:v>
                </c:pt>
                <c:pt idx="128">
                  <c:v>98.275683649392462</c:v>
                </c:pt>
                <c:pt idx="129">
                  <c:v>97.918089388143116</c:v>
                </c:pt>
                <c:pt idx="130">
                  <c:v>95.610221604515047</c:v>
                </c:pt>
                <c:pt idx="131">
                  <c:v>95.113352479011269</c:v>
                </c:pt>
                <c:pt idx="132">
                  <c:v>96.698160281548013</c:v>
                </c:pt>
                <c:pt idx="133">
                  <c:v>96.547466028339613</c:v>
                </c:pt>
                <c:pt idx="134">
                  <c:v>96.520584697538879</c:v>
                </c:pt>
                <c:pt idx="135">
                  <c:v>95.10682958767066</c:v>
                </c:pt>
                <c:pt idx="136">
                  <c:v>95.002021071844055</c:v>
                </c:pt>
                <c:pt idx="137">
                  <c:v>94.596526287931141</c:v>
                </c:pt>
                <c:pt idx="138">
                  <c:v>95.51067143334528</c:v>
                </c:pt>
                <c:pt idx="139">
                  <c:v>95.215968050850904</c:v>
                </c:pt>
                <c:pt idx="140">
                  <c:v>95.83590628745182</c:v>
                </c:pt>
                <c:pt idx="141">
                  <c:v>92.986004488288671</c:v>
                </c:pt>
                <c:pt idx="142">
                  <c:v>94.475844959128523</c:v>
                </c:pt>
                <c:pt idx="143">
                  <c:v>95.075045951994213</c:v>
                </c:pt>
                <c:pt idx="144">
                  <c:v>94.970934960125334</c:v>
                </c:pt>
                <c:pt idx="145">
                  <c:v>95.367671072799141</c:v>
                </c:pt>
                <c:pt idx="146">
                  <c:v>96.017374843101194</c:v>
                </c:pt>
                <c:pt idx="147">
                  <c:v>96.250865233890295</c:v>
                </c:pt>
                <c:pt idx="148">
                  <c:v>97.665662940378212</c:v>
                </c:pt>
                <c:pt idx="149">
                  <c:v>97.145820334789576</c:v>
                </c:pt>
                <c:pt idx="150">
                  <c:v>99.688106590189406</c:v>
                </c:pt>
                <c:pt idx="151">
                  <c:v>99.686408402481092</c:v>
                </c:pt>
                <c:pt idx="152">
                  <c:v>98.660168197219136</c:v>
                </c:pt>
                <c:pt idx="153">
                  <c:v>97.56864681617013</c:v>
                </c:pt>
                <c:pt idx="154">
                  <c:v>99.414009816110934</c:v>
                </c:pt>
                <c:pt idx="155">
                  <c:v>100.79586135369067</c:v>
                </c:pt>
                <c:pt idx="156">
                  <c:v>99.655135199022425</c:v>
                </c:pt>
                <c:pt idx="157">
                  <c:v>101.50359678435088</c:v>
                </c:pt>
                <c:pt idx="158">
                  <c:v>101.37144653842957</c:v>
                </c:pt>
                <c:pt idx="159">
                  <c:v>102.10717115860895</c:v>
                </c:pt>
                <c:pt idx="160">
                  <c:v>100.23905563438394</c:v>
                </c:pt>
                <c:pt idx="161">
                  <c:v>101.55100851617021</c:v>
                </c:pt>
                <c:pt idx="162">
                  <c:v>103.58342610515635</c:v>
                </c:pt>
                <c:pt idx="163">
                  <c:v>105.34734354249632</c:v>
                </c:pt>
                <c:pt idx="164">
                  <c:v>104.75294376257143</c:v>
                </c:pt>
                <c:pt idx="165">
                  <c:v>104.3133185335257</c:v>
                </c:pt>
                <c:pt idx="166">
                  <c:v>104.57765141772498</c:v>
                </c:pt>
                <c:pt idx="167">
                  <c:v>106.39473771864492</c:v>
                </c:pt>
                <c:pt idx="168">
                  <c:v>106.92958968719114</c:v>
                </c:pt>
                <c:pt idx="169">
                  <c:v>106.0886241949546</c:v>
                </c:pt>
                <c:pt idx="170">
                  <c:v>103.73842477368872</c:v>
                </c:pt>
                <c:pt idx="171">
                  <c:v>104.17375598332677</c:v>
                </c:pt>
                <c:pt idx="172">
                  <c:v>103.31135310840212</c:v>
                </c:pt>
                <c:pt idx="173">
                  <c:v>103.82853845300109</c:v>
                </c:pt>
                <c:pt idx="174">
                  <c:v>101.23968995041766</c:v>
                </c:pt>
                <c:pt idx="175">
                  <c:v>99.385894757646312</c:v>
                </c:pt>
                <c:pt idx="176">
                  <c:v>100.6935371633212</c:v>
                </c:pt>
                <c:pt idx="177">
                  <c:v>100.79204999441917</c:v>
                </c:pt>
                <c:pt idx="178">
                  <c:v>99.619391859846587</c:v>
                </c:pt>
                <c:pt idx="179">
                  <c:v>98.799924805295007</c:v>
                </c:pt>
                <c:pt idx="180">
                  <c:v>98.503072756708605</c:v>
                </c:pt>
                <c:pt idx="181">
                  <c:v>99.623698706056231</c:v>
                </c:pt>
                <c:pt idx="182">
                  <c:v>100.2155869526358</c:v>
                </c:pt>
                <c:pt idx="183">
                  <c:v>99.430965478443994</c:v>
                </c:pt>
                <c:pt idx="184">
                  <c:v>98.472865645203584</c:v>
                </c:pt>
                <c:pt idx="185">
                  <c:v>99.068992757111204</c:v>
                </c:pt>
                <c:pt idx="186">
                  <c:v>99.439540254112387</c:v>
                </c:pt>
                <c:pt idx="187">
                  <c:v>100.64516679848428</c:v>
                </c:pt>
                <c:pt idx="188">
                  <c:v>102.00756874409055</c:v>
                </c:pt>
                <c:pt idx="189">
                  <c:v>102.5886321987702</c:v>
                </c:pt>
                <c:pt idx="190">
                  <c:v>102.89223194497792</c:v>
                </c:pt>
                <c:pt idx="191">
                  <c:v>103.25508542234492</c:v>
                </c:pt>
                <c:pt idx="192">
                  <c:v>103.53522078458637</c:v>
                </c:pt>
                <c:pt idx="193">
                  <c:v>104.19298978772453</c:v>
                </c:pt>
                <c:pt idx="194">
                  <c:v>102.41434133154668</c:v>
                </c:pt>
                <c:pt idx="195">
                  <c:v>101.34604137701173</c:v>
                </c:pt>
                <c:pt idx="196">
                  <c:v>99.748289725107242</c:v>
                </c:pt>
                <c:pt idx="197">
                  <c:v>98.02898524872063</c:v>
                </c:pt>
                <c:pt idx="198">
                  <c:v>98.550832285759256</c:v>
                </c:pt>
                <c:pt idx="199">
                  <c:v>99.0017806080768</c:v>
                </c:pt>
                <c:pt idx="200">
                  <c:v>98.302328398986319</c:v>
                </c:pt>
                <c:pt idx="201">
                  <c:v>99.334203879006466</c:v>
                </c:pt>
                <c:pt idx="202">
                  <c:v>101.6750360792292</c:v>
                </c:pt>
                <c:pt idx="203">
                  <c:v>101.05636021224024</c:v>
                </c:pt>
                <c:pt idx="204">
                  <c:v>102.43467423034215</c:v>
                </c:pt>
                <c:pt idx="205">
                  <c:v>101.05321048887332</c:v>
                </c:pt>
                <c:pt idx="206">
                  <c:v>102.06182291304349</c:v>
                </c:pt>
                <c:pt idx="207">
                  <c:v>102.42596222820775</c:v>
                </c:pt>
                <c:pt idx="208">
                  <c:v>101.54139436478302</c:v>
                </c:pt>
                <c:pt idx="209">
                  <c:v>102.28942238645442</c:v>
                </c:pt>
                <c:pt idx="210">
                  <c:v>102.46565463769393</c:v>
                </c:pt>
                <c:pt idx="211">
                  <c:v>102.30868575199693</c:v>
                </c:pt>
                <c:pt idx="212">
                  <c:v>100.27169661264506</c:v>
                </c:pt>
                <c:pt idx="213">
                  <c:v>100.71510451002716</c:v>
                </c:pt>
                <c:pt idx="214">
                  <c:v>100.62245054790182</c:v>
                </c:pt>
                <c:pt idx="215">
                  <c:v>100.57256438810128</c:v>
                </c:pt>
                <c:pt idx="216">
                  <c:v>99.830440270205429</c:v>
                </c:pt>
                <c:pt idx="217">
                  <c:v>98.020356274686407</c:v>
                </c:pt>
                <c:pt idx="218">
                  <c:v>98.950211947780616</c:v>
                </c:pt>
                <c:pt idx="219">
                  <c:v>98.087288854905324</c:v>
                </c:pt>
                <c:pt idx="220">
                  <c:v>97.394668567424176</c:v>
                </c:pt>
                <c:pt idx="221">
                  <c:v>97.900498346616061</c:v>
                </c:pt>
                <c:pt idx="222">
                  <c:v>98.58864114312874</c:v>
                </c:pt>
                <c:pt idx="223">
                  <c:v>99.67491936905229</c:v>
                </c:pt>
                <c:pt idx="224">
                  <c:v>98.345497954783369</c:v>
                </c:pt>
                <c:pt idx="225">
                  <c:v>99.406272063601307</c:v>
                </c:pt>
                <c:pt idx="226">
                  <c:v>98.264287196606176</c:v>
                </c:pt>
                <c:pt idx="227">
                  <c:v>98.645303858398847</c:v>
                </c:pt>
                <c:pt idx="228">
                  <c:v>98.79064824972896</c:v>
                </c:pt>
                <c:pt idx="229">
                  <c:v>98.827831421781397</c:v>
                </c:pt>
                <c:pt idx="230">
                  <c:v>98.713703214934355</c:v>
                </c:pt>
                <c:pt idx="231">
                  <c:v>96.453941511277534</c:v>
                </c:pt>
                <c:pt idx="232">
                  <c:v>96.841074286150899</c:v>
                </c:pt>
                <c:pt idx="233">
                  <c:v>95.822834081582812</c:v>
                </c:pt>
                <c:pt idx="234">
                  <c:v>96.418239566174236</c:v>
                </c:pt>
                <c:pt idx="235">
                  <c:v>96.2865173278865</c:v>
                </c:pt>
                <c:pt idx="236">
                  <c:v>95.047577632103739</c:v>
                </c:pt>
                <c:pt idx="237">
                  <c:v>95.653520177911176</c:v>
                </c:pt>
                <c:pt idx="238">
                  <c:v>97.674235255667782</c:v>
                </c:pt>
                <c:pt idx="239">
                  <c:v>98.520701632366624</c:v>
                </c:pt>
                <c:pt idx="240">
                  <c:v>97.815411266452998</c:v>
                </c:pt>
                <c:pt idx="241">
                  <c:v>97.750820322160564</c:v>
                </c:pt>
                <c:pt idx="242">
                  <c:v>98.87211345744447</c:v>
                </c:pt>
                <c:pt idx="243">
                  <c:v>99.535542812225103</c:v>
                </c:pt>
                <c:pt idx="244">
                  <c:v>99.963371782684163</c:v>
                </c:pt>
                <c:pt idx="245">
                  <c:v>98.531725699786719</c:v>
                </c:pt>
                <c:pt idx="246">
                  <c:v>97.856365962380877</c:v>
                </c:pt>
                <c:pt idx="247">
                  <c:v>99.887508283825468</c:v>
                </c:pt>
                <c:pt idx="248">
                  <c:v>101.08385220618146</c:v>
                </c:pt>
                <c:pt idx="249">
                  <c:v>99.306805597414936</c:v>
                </c:pt>
                <c:pt idx="250">
                  <c:v>99.153898245213199</c:v>
                </c:pt>
                <c:pt idx="251">
                  <c:v>100.5251578101776</c:v>
                </c:pt>
                <c:pt idx="252">
                  <c:v>101.32219336303153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6-424B-B710-4E50FBAF585F}"/>
            </c:ext>
          </c:extLst>
        </c:ser>
        <c:ser>
          <c:idx val="2"/>
          <c:order val="2"/>
          <c:marker>
            <c:symbol val="none"/>
          </c:marker>
          <c:val>
            <c:numRef>
              <c:f>Trajectoires!$F$8:$F$260</c:f>
              <c:numCache>
                <c:formatCode>General</c:formatCode>
                <c:ptCount val="253"/>
                <c:pt idx="0">
                  <c:v>100</c:v>
                </c:pt>
                <c:pt idx="1">
                  <c:v>100.93176653269151</c:v>
                </c:pt>
                <c:pt idx="2">
                  <c:v>99.715428456400403</c:v>
                </c:pt>
                <c:pt idx="3">
                  <c:v>98.099535723308804</c:v>
                </c:pt>
                <c:pt idx="4">
                  <c:v>97.7109366406888</c:v>
                </c:pt>
                <c:pt idx="5">
                  <c:v>97.59204737501814</c:v>
                </c:pt>
                <c:pt idx="6">
                  <c:v>98.709459151417008</c:v>
                </c:pt>
                <c:pt idx="7">
                  <c:v>98.377855575314612</c:v>
                </c:pt>
                <c:pt idx="8">
                  <c:v>97.913819363834605</c:v>
                </c:pt>
                <c:pt idx="9">
                  <c:v>98.603372530321593</c:v>
                </c:pt>
                <c:pt idx="10">
                  <c:v>98.682642180119359</c:v>
                </c:pt>
                <c:pt idx="11">
                  <c:v>98.612810762964287</c:v>
                </c:pt>
                <c:pt idx="12">
                  <c:v>100.57990636919314</c:v>
                </c:pt>
                <c:pt idx="13">
                  <c:v>101.29860119637888</c:v>
                </c:pt>
                <c:pt idx="14">
                  <c:v>100.34364585113418</c:v>
                </c:pt>
                <c:pt idx="15">
                  <c:v>101.02030561739517</c:v>
                </c:pt>
                <c:pt idx="16">
                  <c:v>102.58016924178447</c:v>
                </c:pt>
                <c:pt idx="17">
                  <c:v>101.04646100661654</c:v>
                </c:pt>
                <c:pt idx="18">
                  <c:v>101.15053098831335</c:v>
                </c:pt>
                <c:pt idx="19">
                  <c:v>102.16750967758625</c:v>
                </c:pt>
                <c:pt idx="20">
                  <c:v>102.42079558021521</c:v>
                </c:pt>
                <c:pt idx="21">
                  <c:v>102.45439993830412</c:v>
                </c:pt>
                <c:pt idx="22">
                  <c:v>100.77141271921241</c:v>
                </c:pt>
                <c:pt idx="23">
                  <c:v>99.568238724445521</c:v>
                </c:pt>
                <c:pt idx="24">
                  <c:v>101.26080145632298</c:v>
                </c:pt>
                <c:pt idx="25">
                  <c:v>101.65541886778072</c:v>
                </c:pt>
                <c:pt idx="26">
                  <c:v>101.90930329800253</c:v>
                </c:pt>
                <c:pt idx="27">
                  <c:v>101.86116349732558</c:v>
                </c:pt>
                <c:pt idx="28">
                  <c:v>100.99044200603646</c:v>
                </c:pt>
                <c:pt idx="29">
                  <c:v>100.49294810598676</c:v>
                </c:pt>
                <c:pt idx="30">
                  <c:v>100.19684550938777</c:v>
                </c:pt>
                <c:pt idx="31">
                  <c:v>99.038877518138023</c:v>
                </c:pt>
                <c:pt idx="32">
                  <c:v>100.19256824937375</c:v>
                </c:pt>
                <c:pt idx="33">
                  <c:v>102.12288781722818</c:v>
                </c:pt>
                <c:pt idx="34">
                  <c:v>99.940953934925886</c:v>
                </c:pt>
                <c:pt idx="35">
                  <c:v>100.4541916448145</c:v>
                </c:pt>
                <c:pt idx="36">
                  <c:v>101.26819078019129</c:v>
                </c:pt>
                <c:pt idx="37">
                  <c:v>100.51059790144245</c:v>
                </c:pt>
                <c:pt idx="38">
                  <c:v>98.501364095828535</c:v>
                </c:pt>
                <c:pt idx="39">
                  <c:v>99.369569438817791</c:v>
                </c:pt>
                <c:pt idx="40">
                  <c:v>98.876371846119099</c:v>
                </c:pt>
                <c:pt idx="41">
                  <c:v>99.074309551314087</c:v>
                </c:pt>
                <c:pt idx="42">
                  <c:v>99.881695982069559</c:v>
                </c:pt>
                <c:pt idx="43">
                  <c:v>100.88421121052649</c:v>
                </c:pt>
                <c:pt idx="44">
                  <c:v>102.87435089835917</c:v>
                </c:pt>
                <c:pt idx="45">
                  <c:v>102.05126495857952</c:v>
                </c:pt>
                <c:pt idx="46">
                  <c:v>100.91460021712885</c:v>
                </c:pt>
                <c:pt idx="47">
                  <c:v>100.51148606065688</c:v>
                </c:pt>
                <c:pt idx="48">
                  <c:v>101.51268038907669</c:v>
                </c:pt>
                <c:pt idx="49">
                  <c:v>101.5346024215365</c:v>
                </c:pt>
                <c:pt idx="50">
                  <c:v>101.58367859041073</c:v>
                </c:pt>
                <c:pt idx="51">
                  <c:v>103.45885205830389</c:v>
                </c:pt>
                <c:pt idx="52">
                  <c:v>102.8342293545978</c:v>
                </c:pt>
                <c:pt idx="53">
                  <c:v>102.58692352574089</c:v>
                </c:pt>
                <c:pt idx="54">
                  <c:v>99.900187332636321</c:v>
                </c:pt>
                <c:pt idx="55">
                  <c:v>98.491227069824021</c:v>
                </c:pt>
                <c:pt idx="56">
                  <c:v>97.766182083178052</c:v>
                </c:pt>
                <c:pt idx="57">
                  <c:v>98.324892653989579</c:v>
                </c:pt>
                <c:pt idx="58">
                  <c:v>97.244080740018418</c:v>
                </c:pt>
                <c:pt idx="59">
                  <c:v>97.647246053703668</c:v>
                </c:pt>
                <c:pt idx="60">
                  <c:v>98.059630610561172</c:v>
                </c:pt>
                <c:pt idx="61">
                  <c:v>97.906252317563386</c:v>
                </c:pt>
                <c:pt idx="62">
                  <c:v>98.694089506552544</c:v>
                </c:pt>
                <c:pt idx="63">
                  <c:v>97.7273300301175</c:v>
                </c:pt>
                <c:pt idx="64">
                  <c:v>99.328378942008285</c:v>
                </c:pt>
                <c:pt idx="65">
                  <c:v>100.1461402033225</c:v>
                </c:pt>
                <c:pt idx="66">
                  <c:v>100.16151697149375</c:v>
                </c:pt>
                <c:pt idx="67">
                  <c:v>100.2787511390314</c:v>
                </c:pt>
                <c:pt idx="68">
                  <c:v>99.337149984135038</c:v>
                </c:pt>
                <c:pt idx="69">
                  <c:v>97.753724247933761</c:v>
                </c:pt>
                <c:pt idx="70">
                  <c:v>98.996572904060912</c:v>
                </c:pt>
                <c:pt idx="71">
                  <c:v>99.25853808200651</c:v>
                </c:pt>
                <c:pt idx="72">
                  <c:v>101.12677193059831</c:v>
                </c:pt>
                <c:pt idx="73">
                  <c:v>102.62650256573733</c:v>
                </c:pt>
                <c:pt idx="74">
                  <c:v>103.39089806678258</c:v>
                </c:pt>
                <c:pt idx="75">
                  <c:v>104.44050805411493</c:v>
                </c:pt>
                <c:pt idx="76">
                  <c:v>103.53555210698148</c:v>
                </c:pt>
                <c:pt idx="77">
                  <c:v>104.18642387171042</c:v>
                </c:pt>
                <c:pt idx="78">
                  <c:v>104.32933869267416</c:v>
                </c:pt>
                <c:pt idx="79">
                  <c:v>104.71566756667258</c:v>
                </c:pt>
                <c:pt idx="80">
                  <c:v>104.74511005465517</c:v>
                </c:pt>
                <c:pt idx="81">
                  <c:v>104.61490629067085</c:v>
                </c:pt>
                <c:pt idx="82">
                  <c:v>105.97050409104106</c:v>
                </c:pt>
                <c:pt idx="83">
                  <c:v>105.53870875645453</c:v>
                </c:pt>
                <c:pt idx="84">
                  <c:v>105.54354815600523</c:v>
                </c:pt>
                <c:pt idx="85">
                  <c:v>104.41124703137123</c:v>
                </c:pt>
                <c:pt idx="86">
                  <c:v>104.01458244216062</c:v>
                </c:pt>
                <c:pt idx="87">
                  <c:v>104.84249176649897</c:v>
                </c:pt>
                <c:pt idx="88">
                  <c:v>103.37200496029229</c:v>
                </c:pt>
                <c:pt idx="89">
                  <c:v>104.31543703298742</c:v>
                </c:pt>
                <c:pt idx="90">
                  <c:v>103.09095870237388</c:v>
                </c:pt>
                <c:pt idx="91">
                  <c:v>100.85447516344358</c:v>
                </c:pt>
                <c:pt idx="92">
                  <c:v>100.59801631571187</c:v>
                </c:pt>
                <c:pt idx="93">
                  <c:v>100.31350439429814</c:v>
                </c:pt>
                <c:pt idx="94">
                  <c:v>101.44477400653524</c:v>
                </c:pt>
                <c:pt idx="95">
                  <c:v>103.6348196653411</c:v>
                </c:pt>
                <c:pt idx="96">
                  <c:v>102.98866872376391</c:v>
                </c:pt>
                <c:pt idx="97">
                  <c:v>103.36785923592508</c:v>
                </c:pt>
                <c:pt idx="98">
                  <c:v>103.81268114179872</c:v>
                </c:pt>
                <c:pt idx="99">
                  <c:v>102.44556949860616</c:v>
                </c:pt>
                <c:pt idx="100">
                  <c:v>102.06794691358778</c:v>
                </c:pt>
                <c:pt idx="101">
                  <c:v>104.45541045087455</c:v>
                </c:pt>
                <c:pt idx="102">
                  <c:v>105.43329252757223</c:v>
                </c:pt>
                <c:pt idx="103">
                  <c:v>105.38618654724036</c:v>
                </c:pt>
                <c:pt idx="104">
                  <c:v>105.53574763801727</c:v>
                </c:pt>
                <c:pt idx="105">
                  <c:v>104.51461547153392</c:v>
                </c:pt>
                <c:pt idx="106">
                  <c:v>104.4426050908354</c:v>
                </c:pt>
                <c:pt idx="107">
                  <c:v>103.68932596839282</c:v>
                </c:pt>
                <c:pt idx="108">
                  <c:v>102.70640937642666</c:v>
                </c:pt>
                <c:pt idx="109">
                  <c:v>102.9913862775078</c:v>
                </c:pt>
                <c:pt idx="110">
                  <c:v>104.0086174540686</c:v>
                </c:pt>
                <c:pt idx="111">
                  <c:v>106.2735040680668</c:v>
                </c:pt>
                <c:pt idx="112">
                  <c:v>106.7362182931227</c:v>
                </c:pt>
                <c:pt idx="113">
                  <c:v>107.07608208260305</c:v>
                </c:pt>
                <c:pt idx="114">
                  <c:v>107.91925283461454</c:v>
                </c:pt>
                <c:pt idx="115">
                  <c:v>108.86584841447795</c:v>
                </c:pt>
                <c:pt idx="116">
                  <c:v>107.97015473395167</c:v>
                </c:pt>
                <c:pt idx="117">
                  <c:v>108.80223531542549</c:v>
                </c:pt>
                <c:pt idx="118">
                  <c:v>110.04405123131907</c:v>
                </c:pt>
                <c:pt idx="119">
                  <c:v>108.31833297068042</c:v>
                </c:pt>
                <c:pt idx="120">
                  <c:v>108.29641492121767</c:v>
                </c:pt>
                <c:pt idx="121">
                  <c:v>111.61586989736968</c:v>
                </c:pt>
                <c:pt idx="122">
                  <c:v>110.75128977256604</c:v>
                </c:pt>
                <c:pt idx="123">
                  <c:v>111.31276374136489</c:v>
                </c:pt>
                <c:pt idx="124">
                  <c:v>110.33071156342889</c:v>
                </c:pt>
                <c:pt idx="125">
                  <c:v>110.88450200863826</c:v>
                </c:pt>
                <c:pt idx="126">
                  <c:v>113.81054115236934</c:v>
                </c:pt>
                <c:pt idx="127">
                  <c:v>113.59594906830002</c:v>
                </c:pt>
                <c:pt idx="128">
                  <c:v>113.58115622382603</c:v>
                </c:pt>
                <c:pt idx="129">
                  <c:v>112.55176968380162</c:v>
                </c:pt>
                <c:pt idx="130">
                  <c:v>112.60548313498288</c:v>
                </c:pt>
                <c:pt idx="131">
                  <c:v>114.08587890690663</c:v>
                </c:pt>
                <c:pt idx="132">
                  <c:v>114.48677528169934</c:v>
                </c:pt>
                <c:pt idx="133">
                  <c:v>115.29918887709754</c:v>
                </c:pt>
                <c:pt idx="134">
                  <c:v>116.03532911052309</c:v>
                </c:pt>
                <c:pt idx="135">
                  <c:v>112.91821817979927</c:v>
                </c:pt>
                <c:pt idx="136">
                  <c:v>112.24580329045367</c:v>
                </c:pt>
                <c:pt idx="137">
                  <c:v>112.69152153906975</c:v>
                </c:pt>
                <c:pt idx="138">
                  <c:v>113.06572646623323</c:v>
                </c:pt>
                <c:pt idx="139">
                  <c:v>114.58668351213809</c:v>
                </c:pt>
                <c:pt idx="140">
                  <c:v>116.83001741497321</c:v>
                </c:pt>
                <c:pt idx="141">
                  <c:v>116.68380336188198</c:v>
                </c:pt>
                <c:pt idx="142">
                  <c:v>118.6900808386639</c:v>
                </c:pt>
                <c:pt idx="143">
                  <c:v>118.01091722590201</c:v>
                </c:pt>
                <c:pt idx="144">
                  <c:v>115.81754436303508</c:v>
                </c:pt>
                <c:pt idx="145">
                  <c:v>115.02157406787599</c:v>
                </c:pt>
                <c:pt idx="146">
                  <c:v>112.71538307168326</c:v>
                </c:pt>
                <c:pt idx="147">
                  <c:v>113.61231368781692</c:v>
                </c:pt>
                <c:pt idx="148">
                  <c:v>111.87943938732104</c:v>
                </c:pt>
                <c:pt idx="149">
                  <c:v>111.76124329164506</c:v>
                </c:pt>
                <c:pt idx="150">
                  <c:v>113.60468551879868</c:v>
                </c:pt>
                <c:pt idx="151">
                  <c:v>113.31405080266313</c:v>
                </c:pt>
                <c:pt idx="152">
                  <c:v>112.4880543857914</c:v>
                </c:pt>
                <c:pt idx="153">
                  <c:v>112.3663995068388</c:v>
                </c:pt>
                <c:pt idx="154">
                  <c:v>110.62874598293998</c:v>
                </c:pt>
                <c:pt idx="155">
                  <c:v>110.89886191121802</c:v>
                </c:pt>
                <c:pt idx="156">
                  <c:v>109.5190637809534</c:v>
                </c:pt>
                <c:pt idx="157">
                  <c:v>106.05166693165638</c:v>
                </c:pt>
                <c:pt idx="158">
                  <c:v>107.10945507790304</c:v>
                </c:pt>
                <c:pt idx="159">
                  <c:v>107.59851801590742</c:v>
                </c:pt>
                <c:pt idx="160">
                  <c:v>108.94385741984766</c:v>
                </c:pt>
                <c:pt idx="161">
                  <c:v>109.91288963269737</c:v>
                </c:pt>
                <c:pt idx="162">
                  <c:v>108.89058082670775</c:v>
                </c:pt>
                <c:pt idx="163">
                  <c:v>109.23496623067436</c:v>
                </c:pt>
                <c:pt idx="164">
                  <c:v>107.8310961019986</c:v>
                </c:pt>
                <c:pt idx="165">
                  <c:v>108.02739224144193</c:v>
                </c:pt>
                <c:pt idx="166">
                  <c:v>109.68633490258615</c:v>
                </c:pt>
                <c:pt idx="167">
                  <c:v>110.80087273783656</c:v>
                </c:pt>
                <c:pt idx="168">
                  <c:v>112.04243817975278</c:v>
                </c:pt>
                <c:pt idx="169">
                  <c:v>112.1855894023644</c:v>
                </c:pt>
                <c:pt idx="170">
                  <c:v>111.30636695980849</c:v>
                </c:pt>
                <c:pt idx="171">
                  <c:v>110.86011658652744</c:v>
                </c:pt>
                <c:pt idx="172">
                  <c:v>111.77384113097639</c:v>
                </c:pt>
                <c:pt idx="173">
                  <c:v>113.17694652915692</c:v>
                </c:pt>
                <c:pt idx="174">
                  <c:v>112.09327806661813</c:v>
                </c:pt>
                <c:pt idx="175">
                  <c:v>112.03616674356871</c:v>
                </c:pt>
                <c:pt idx="176">
                  <c:v>111.12406624078974</c:v>
                </c:pt>
                <c:pt idx="177">
                  <c:v>109.53897852077708</c:v>
                </c:pt>
                <c:pt idx="178">
                  <c:v>109.11135907375215</c:v>
                </c:pt>
                <c:pt idx="179">
                  <c:v>107.20260639791884</c:v>
                </c:pt>
                <c:pt idx="180">
                  <c:v>107.54822429044951</c:v>
                </c:pt>
                <c:pt idx="181">
                  <c:v>105.57450777729363</c:v>
                </c:pt>
                <c:pt idx="182">
                  <c:v>105.82620699041266</c:v>
                </c:pt>
                <c:pt idx="183">
                  <c:v>106.41553273953078</c:v>
                </c:pt>
                <c:pt idx="184">
                  <c:v>107.77727375410313</c:v>
                </c:pt>
                <c:pt idx="185">
                  <c:v>107.97057479344637</c:v>
                </c:pt>
                <c:pt idx="186">
                  <c:v>108.74396326627249</c:v>
                </c:pt>
                <c:pt idx="187">
                  <c:v>109.16261952027945</c:v>
                </c:pt>
                <c:pt idx="188">
                  <c:v>109.01336356310254</c:v>
                </c:pt>
                <c:pt idx="189">
                  <c:v>110.60550483882425</c:v>
                </c:pt>
                <c:pt idx="190">
                  <c:v>111.39660887100818</c:v>
                </c:pt>
                <c:pt idx="191">
                  <c:v>108.50195509467795</c:v>
                </c:pt>
                <c:pt idx="192">
                  <c:v>110.23445952062089</c:v>
                </c:pt>
                <c:pt idx="193">
                  <c:v>112.57419373304573</c:v>
                </c:pt>
                <c:pt idx="194">
                  <c:v>112.44799544688519</c:v>
                </c:pt>
                <c:pt idx="195">
                  <c:v>112.56175428534225</c:v>
                </c:pt>
                <c:pt idx="196">
                  <c:v>111.71310159277773</c:v>
                </c:pt>
                <c:pt idx="197">
                  <c:v>110.68446054931046</c:v>
                </c:pt>
                <c:pt idx="198">
                  <c:v>112.19470807891386</c:v>
                </c:pt>
                <c:pt idx="199">
                  <c:v>112.38985098382898</c:v>
                </c:pt>
                <c:pt idx="200">
                  <c:v>113.51419797199942</c:v>
                </c:pt>
                <c:pt idx="201">
                  <c:v>115.45268089782513</c:v>
                </c:pt>
                <c:pt idx="202">
                  <c:v>116.93332965027713</c:v>
                </c:pt>
                <c:pt idx="203">
                  <c:v>118.79014907152302</c:v>
                </c:pt>
                <c:pt idx="204">
                  <c:v>116.71254391259157</c:v>
                </c:pt>
                <c:pt idx="205">
                  <c:v>114.60682039031084</c:v>
                </c:pt>
                <c:pt idx="206">
                  <c:v>114.438230002612</c:v>
                </c:pt>
                <c:pt idx="207">
                  <c:v>114.88468265754101</c:v>
                </c:pt>
                <c:pt idx="208">
                  <c:v>116.10190364059703</c:v>
                </c:pt>
                <c:pt idx="209">
                  <c:v>113.35263020072784</c:v>
                </c:pt>
                <c:pt idx="210">
                  <c:v>111.64590504986444</c:v>
                </c:pt>
                <c:pt idx="211">
                  <c:v>111.85540042976079</c:v>
                </c:pt>
                <c:pt idx="212">
                  <c:v>110.57757405612232</c:v>
                </c:pt>
                <c:pt idx="213">
                  <c:v>108.06997703529608</c:v>
                </c:pt>
                <c:pt idx="214">
                  <c:v>108.20910119158617</c:v>
                </c:pt>
                <c:pt idx="215">
                  <c:v>109.67542830084925</c:v>
                </c:pt>
                <c:pt idx="216">
                  <c:v>110.05776310705009</c:v>
                </c:pt>
                <c:pt idx="217">
                  <c:v>107.7918712294877</c:v>
                </c:pt>
                <c:pt idx="218">
                  <c:v>108.17512649625527</c:v>
                </c:pt>
                <c:pt idx="219">
                  <c:v>108.61104798998414</c:v>
                </c:pt>
                <c:pt idx="220">
                  <c:v>109.82003742590791</c:v>
                </c:pt>
                <c:pt idx="221">
                  <c:v>108.88123590340662</c:v>
                </c:pt>
                <c:pt idx="222">
                  <c:v>106.76095457608328</c:v>
                </c:pt>
                <c:pt idx="223">
                  <c:v>106.72379879202732</c:v>
                </c:pt>
                <c:pt idx="224">
                  <c:v>109.22435956183463</c:v>
                </c:pt>
                <c:pt idx="225">
                  <c:v>106.61082159742644</c:v>
                </c:pt>
                <c:pt idx="226">
                  <c:v>106.49454270246656</c:v>
                </c:pt>
                <c:pt idx="227">
                  <c:v>104.5178766041317</c:v>
                </c:pt>
                <c:pt idx="228">
                  <c:v>105.2542905595302</c:v>
                </c:pt>
                <c:pt idx="229">
                  <c:v>105.43869603581322</c:v>
                </c:pt>
                <c:pt idx="230">
                  <c:v>107.43568441074041</c:v>
                </c:pt>
                <c:pt idx="231">
                  <c:v>108.64064903651838</c:v>
                </c:pt>
                <c:pt idx="232">
                  <c:v>107.91202184385939</c:v>
                </c:pt>
                <c:pt idx="233">
                  <c:v>107.65044537736449</c:v>
                </c:pt>
                <c:pt idx="234">
                  <c:v>106.63657547547388</c:v>
                </c:pt>
                <c:pt idx="235">
                  <c:v>105.88810724919112</c:v>
                </c:pt>
                <c:pt idx="236">
                  <c:v>107.73485494149355</c:v>
                </c:pt>
                <c:pt idx="237">
                  <c:v>105.65691904622058</c:v>
                </c:pt>
                <c:pt idx="238">
                  <c:v>104.65060884613609</c:v>
                </c:pt>
                <c:pt idx="239">
                  <c:v>106.79789653927088</c:v>
                </c:pt>
                <c:pt idx="240">
                  <c:v>108.38333209290964</c:v>
                </c:pt>
                <c:pt idx="241">
                  <c:v>109.00412455572508</c:v>
                </c:pt>
                <c:pt idx="242">
                  <c:v>108.47842712805559</c:v>
                </c:pt>
                <c:pt idx="243">
                  <c:v>108.24847676667913</c:v>
                </c:pt>
                <c:pt idx="244">
                  <c:v>108.15383550324295</c:v>
                </c:pt>
                <c:pt idx="245">
                  <c:v>110.52448877745593</c:v>
                </c:pt>
                <c:pt idx="246">
                  <c:v>110.33764695562273</c:v>
                </c:pt>
                <c:pt idx="247">
                  <c:v>113.1987719220169</c:v>
                </c:pt>
                <c:pt idx="248">
                  <c:v>113.108374643301</c:v>
                </c:pt>
                <c:pt idx="249">
                  <c:v>112.55295118288326</c:v>
                </c:pt>
                <c:pt idx="250">
                  <c:v>115.27370544898785</c:v>
                </c:pt>
                <c:pt idx="251">
                  <c:v>112.26450405748375</c:v>
                </c:pt>
                <c:pt idx="252">
                  <c:v>108.84284435836561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46-424B-B710-4E50FBAF585F}"/>
            </c:ext>
          </c:extLst>
        </c:ser>
        <c:ser>
          <c:idx val="3"/>
          <c:order val="3"/>
          <c:marker>
            <c:symbol val="none"/>
          </c:marker>
          <c:val>
            <c:numRef>
              <c:f>Trajectoires!$G$8:$G$260</c:f>
              <c:numCache>
                <c:formatCode>General</c:formatCode>
                <c:ptCount val="253"/>
                <c:pt idx="0">
                  <c:v>100</c:v>
                </c:pt>
                <c:pt idx="1">
                  <c:v>98.876864051580341</c:v>
                </c:pt>
                <c:pt idx="2">
                  <c:v>96.697451111725613</c:v>
                </c:pt>
                <c:pt idx="3">
                  <c:v>95.949684425670185</c:v>
                </c:pt>
                <c:pt idx="4">
                  <c:v>95.804017188696093</c:v>
                </c:pt>
                <c:pt idx="5">
                  <c:v>94.461711933618275</c:v>
                </c:pt>
                <c:pt idx="6">
                  <c:v>95.172421617504952</c:v>
                </c:pt>
                <c:pt idx="7">
                  <c:v>93.95207142125237</c:v>
                </c:pt>
                <c:pt idx="8">
                  <c:v>92.866613945422841</c:v>
                </c:pt>
                <c:pt idx="9">
                  <c:v>93.200531195260623</c:v>
                </c:pt>
                <c:pt idx="10">
                  <c:v>92.178944055558745</c:v>
                </c:pt>
                <c:pt idx="11">
                  <c:v>92.419608356735509</c:v>
                </c:pt>
                <c:pt idx="12">
                  <c:v>91.601574426644817</c:v>
                </c:pt>
                <c:pt idx="13">
                  <c:v>90.182894430163643</c:v>
                </c:pt>
                <c:pt idx="14">
                  <c:v>89.421621134104271</c:v>
                </c:pt>
                <c:pt idx="15">
                  <c:v>91.143614630713486</c:v>
                </c:pt>
                <c:pt idx="16">
                  <c:v>90.520142673622658</c:v>
                </c:pt>
                <c:pt idx="17">
                  <c:v>90.488725030266124</c:v>
                </c:pt>
                <c:pt idx="18">
                  <c:v>91.662978807549578</c:v>
                </c:pt>
                <c:pt idx="19">
                  <c:v>90.665737093966186</c:v>
                </c:pt>
                <c:pt idx="20">
                  <c:v>91.021291019571933</c:v>
                </c:pt>
                <c:pt idx="21">
                  <c:v>90.435545658587202</c:v>
                </c:pt>
                <c:pt idx="22">
                  <c:v>90.499341589968878</c:v>
                </c:pt>
                <c:pt idx="23">
                  <c:v>89.367074304504996</c:v>
                </c:pt>
                <c:pt idx="24">
                  <c:v>88.162544611858593</c:v>
                </c:pt>
                <c:pt idx="25">
                  <c:v>89.484782517195725</c:v>
                </c:pt>
                <c:pt idx="26">
                  <c:v>88.200729467521413</c:v>
                </c:pt>
                <c:pt idx="27">
                  <c:v>86.506751989805082</c:v>
                </c:pt>
                <c:pt idx="28">
                  <c:v>86.844152301669411</c:v>
                </c:pt>
                <c:pt idx="29">
                  <c:v>85.395103713102827</c:v>
                </c:pt>
                <c:pt idx="30">
                  <c:v>85.30558961980212</c:v>
                </c:pt>
                <c:pt idx="31">
                  <c:v>84.721181698888913</c:v>
                </c:pt>
                <c:pt idx="32">
                  <c:v>84.435474318529856</c:v>
                </c:pt>
                <c:pt idx="33">
                  <c:v>84.802799030224833</c:v>
                </c:pt>
                <c:pt idx="34">
                  <c:v>85.039211772635795</c:v>
                </c:pt>
                <c:pt idx="35">
                  <c:v>85.115820833104806</c:v>
                </c:pt>
                <c:pt idx="36">
                  <c:v>85.856838429118724</c:v>
                </c:pt>
                <c:pt idx="37">
                  <c:v>85.985308297794944</c:v>
                </c:pt>
                <c:pt idx="38">
                  <c:v>84.118932955205196</c:v>
                </c:pt>
                <c:pt idx="39">
                  <c:v>84.607713715269611</c:v>
                </c:pt>
                <c:pt idx="40">
                  <c:v>84.730776819783244</c:v>
                </c:pt>
                <c:pt idx="41">
                  <c:v>83.548627973325509</c:v>
                </c:pt>
                <c:pt idx="42">
                  <c:v>84.402793520809141</c:v>
                </c:pt>
                <c:pt idx="43">
                  <c:v>83.961962159398482</c:v>
                </c:pt>
                <c:pt idx="44">
                  <c:v>84.039939459914109</c:v>
                </c:pt>
                <c:pt idx="45">
                  <c:v>83.958161453088891</c:v>
                </c:pt>
                <c:pt idx="46">
                  <c:v>83.257914777059227</c:v>
                </c:pt>
                <c:pt idx="47">
                  <c:v>81.801162098531805</c:v>
                </c:pt>
                <c:pt idx="48">
                  <c:v>81.650723851227056</c:v>
                </c:pt>
                <c:pt idx="49">
                  <c:v>82.055801464752378</c:v>
                </c:pt>
                <c:pt idx="50">
                  <c:v>81.55235545272312</c:v>
                </c:pt>
                <c:pt idx="51">
                  <c:v>83.225578233177245</c:v>
                </c:pt>
                <c:pt idx="52">
                  <c:v>82.924547929260243</c:v>
                </c:pt>
                <c:pt idx="53">
                  <c:v>83.597466109865749</c:v>
                </c:pt>
                <c:pt idx="54">
                  <c:v>83.995883340280741</c:v>
                </c:pt>
                <c:pt idx="55">
                  <c:v>84.527337349865164</c:v>
                </c:pt>
                <c:pt idx="56">
                  <c:v>86.375643219634071</c:v>
                </c:pt>
                <c:pt idx="57">
                  <c:v>84.863487384224129</c:v>
                </c:pt>
                <c:pt idx="58">
                  <c:v>84.862741776287805</c:v>
                </c:pt>
                <c:pt idx="59">
                  <c:v>83.546004014263758</c:v>
                </c:pt>
                <c:pt idx="60">
                  <c:v>84.817544161080022</c:v>
                </c:pt>
                <c:pt idx="61">
                  <c:v>84.575568608767</c:v>
                </c:pt>
                <c:pt idx="62">
                  <c:v>83.751014926738293</c:v>
                </c:pt>
                <c:pt idx="63">
                  <c:v>84.151634637085422</c:v>
                </c:pt>
                <c:pt idx="64">
                  <c:v>83.825324520283601</c:v>
                </c:pt>
                <c:pt idx="65">
                  <c:v>84.620570343950817</c:v>
                </c:pt>
                <c:pt idx="66">
                  <c:v>83.93552055766861</c:v>
                </c:pt>
                <c:pt idx="67">
                  <c:v>84.09906621691276</c:v>
                </c:pt>
                <c:pt idx="68">
                  <c:v>84.324859089103512</c:v>
                </c:pt>
                <c:pt idx="69">
                  <c:v>88.270167811112557</c:v>
                </c:pt>
                <c:pt idx="70">
                  <c:v>86.893664879554962</c:v>
                </c:pt>
                <c:pt idx="71">
                  <c:v>87.742091661682309</c:v>
                </c:pt>
                <c:pt idx="72">
                  <c:v>86.791354914205499</c:v>
                </c:pt>
                <c:pt idx="73">
                  <c:v>86.120141850586975</c:v>
                </c:pt>
                <c:pt idx="74">
                  <c:v>85.666756115674659</c:v>
                </c:pt>
                <c:pt idx="75">
                  <c:v>86.323317281219957</c:v>
                </c:pt>
                <c:pt idx="76">
                  <c:v>83.676649130522875</c:v>
                </c:pt>
                <c:pt idx="77">
                  <c:v>82.757883929240208</c:v>
                </c:pt>
                <c:pt idx="78">
                  <c:v>83.35072291034696</c:v>
                </c:pt>
                <c:pt idx="79">
                  <c:v>85.333189554852339</c:v>
                </c:pt>
                <c:pt idx="80">
                  <c:v>85.853804566874899</c:v>
                </c:pt>
                <c:pt idx="81">
                  <c:v>86.441318857850419</c:v>
                </c:pt>
                <c:pt idx="82">
                  <c:v>86.54343896870121</c:v>
                </c:pt>
                <c:pt idx="83">
                  <c:v>86.539531527865691</c:v>
                </c:pt>
                <c:pt idx="84">
                  <c:v>87.926439870243982</c:v>
                </c:pt>
                <c:pt idx="85">
                  <c:v>87.654921618648174</c:v>
                </c:pt>
                <c:pt idx="86">
                  <c:v>88.103058642408953</c:v>
                </c:pt>
                <c:pt idx="87">
                  <c:v>87.763220371591501</c:v>
                </c:pt>
                <c:pt idx="88">
                  <c:v>89.412915216758648</c:v>
                </c:pt>
                <c:pt idx="89">
                  <c:v>88.856099831850571</c:v>
                </c:pt>
                <c:pt idx="90">
                  <c:v>88.807843755812627</c:v>
                </c:pt>
                <c:pt idx="91">
                  <c:v>89.238761687378968</c:v>
                </c:pt>
                <c:pt idx="92">
                  <c:v>87.861885966357121</c:v>
                </c:pt>
                <c:pt idx="93">
                  <c:v>88.1555806940314</c:v>
                </c:pt>
                <c:pt idx="94">
                  <c:v>86.564699954890443</c:v>
                </c:pt>
                <c:pt idx="95">
                  <c:v>86.43472911484794</c:v>
                </c:pt>
                <c:pt idx="96">
                  <c:v>87.027995311883672</c:v>
                </c:pt>
                <c:pt idx="97">
                  <c:v>87.227622591216559</c:v>
                </c:pt>
                <c:pt idx="98">
                  <c:v>85.44317547342753</c:v>
                </c:pt>
                <c:pt idx="99">
                  <c:v>85.399683909276447</c:v>
                </c:pt>
                <c:pt idx="100">
                  <c:v>86.094595574519644</c:v>
                </c:pt>
                <c:pt idx="101">
                  <c:v>86.269359285991712</c:v>
                </c:pt>
                <c:pt idx="102">
                  <c:v>86.073647072031264</c:v>
                </c:pt>
                <c:pt idx="103">
                  <c:v>86.122731538818485</c:v>
                </c:pt>
                <c:pt idx="104">
                  <c:v>86.312559062274133</c:v>
                </c:pt>
                <c:pt idx="105">
                  <c:v>88.258701176170533</c:v>
                </c:pt>
                <c:pt idx="106">
                  <c:v>89.819022206883446</c:v>
                </c:pt>
                <c:pt idx="107">
                  <c:v>91.441935002629336</c:v>
                </c:pt>
                <c:pt idx="108">
                  <c:v>92.593100523827701</c:v>
                </c:pt>
                <c:pt idx="109">
                  <c:v>95.532887886687661</c:v>
                </c:pt>
                <c:pt idx="110">
                  <c:v>96.620686899332554</c:v>
                </c:pt>
                <c:pt idx="111">
                  <c:v>95.588214620740544</c:v>
                </c:pt>
                <c:pt idx="112">
                  <c:v>95.655995226345084</c:v>
                </c:pt>
                <c:pt idx="113">
                  <c:v>95.73305406651663</c:v>
                </c:pt>
                <c:pt idx="114">
                  <c:v>95.359550824871974</c:v>
                </c:pt>
                <c:pt idx="115">
                  <c:v>95.95040825451477</c:v>
                </c:pt>
                <c:pt idx="116">
                  <c:v>96.476871588820046</c:v>
                </c:pt>
                <c:pt idx="117">
                  <c:v>95.251759720209009</c:v>
                </c:pt>
                <c:pt idx="118">
                  <c:v>95.768781404711447</c:v>
                </c:pt>
                <c:pt idx="119">
                  <c:v>95.600550112190476</c:v>
                </c:pt>
                <c:pt idx="120">
                  <c:v>95.72119879979536</c:v>
                </c:pt>
                <c:pt idx="121">
                  <c:v>97.846704875225385</c:v>
                </c:pt>
                <c:pt idx="122">
                  <c:v>99.013731350717947</c:v>
                </c:pt>
                <c:pt idx="123">
                  <c:v>97.869669722484673</c:v>
                </c:pt>
                <c:pt idx="124">
                  <c:v>96.649337473388599</c:v>
                </c:pt>
                <c:pt idx="125">
                  <c:v>97.761509814580918</c:v>
                </c:pt>
                <c:pt idx="126">
                  <c:v>97.799523019161128</c:v>
                </c:pt>
                <c:pt idx="127">
                  <c:v>97.559979469242393</c:v>
                </c:pt>
                <c:pt idx="128">
                  <c:v>98.546836418131477</c:v>
                </c:pt>
                <c:pt idx="129">
                  <c:v>98.962292801884843</c:v>
                </c:pt>
                <c:pt idx="130">
                  <c:v>100.67630134904083</c:v>
                </c:pt>
                <c:pt idx="131">
                  <c:v>98.576297387665917</c:v>
                </c:pt>
                <c:pt idx="132">
                  <c:v>98.332002290441181</c:v>
                </c:pt>
                <c:pt idx="133">
                  <c:v>96.155003246346709</c:v>
                </c:pt>
                <c:pt idx="134">
                  <c:v>97.725107390103901</c:v>
                </c:pt>
                <c:pt idx="135">
                  <c:v>97.483992531226335</c:v>
                </c:pt>
                <c:pt idx="136">
                  <c:v>97.981356254779968</c:v>
                </c:pt>
                <c:pt idx="137">
                  <c:v>99.194817800063817</c:v>
                </c:pt>
                <c:pt idx="138">
                  <c:v>100.43702049940923</c:v>
                </c:pt>
                <c:pt idx="139">
                  <c:v>101.08008818458805</c:v>
                </c:pt>
                <c:pt idx="140">
                  <c:v>100.27347926657036</c:v>
                </c:pt>
                <c:pt idx="141">
                  <c:v>101.30399691351474</c:v>
                </c:pt>
                <c:pt idx="142">
                  <c:v>102.58613638193481</c:v>
                </c:pt>
                <c:pt idx="143">
                  <c:v>103.00927241028775</c:v>
                </c:pt>
                <c:pt idx="144">
                  <c:v>103.01598871308148</c:v>
                </c:pt>
                <c:pt idx="145">
                  <c:v>103.9465177338752</c:v>
                </c:pt>
                <c:pt idx="146">
                  <c:v>103.44775790955424</c:v>
                </c:pt>
                <c:pt idx="147">
                  <c:v>102.20455031622662</c:v>
                </c:pt>
                <c:pt idx="148">
                  <c:v>102.48158512571887</c:v>
                </c:pt>
                <c:pt idx="149">
                  <c:v>103.28636779674554</c:v>
                </c:pt>
                <c:pt idx="150">
                  <c:v>102.80126962234147</c:v>
                </c:pt>
                <c:pt idx="151">
                  <c:v>102.9364697551898</c:v>
                </c:pt>
                <c:pt idx="152">
                  <c:v>102.32152598897619</c:v>
                </c:pt>
                <c:pt idx="153">
                  <c:v>99.943809873217475</c:v>
                </c:pt>
                <c:pt idx="154">
                  <c:v>101.2455031291105</c:v>
                </c:pt>
                <c:pt idx="155">
                  <c:v>102.20704718388485</c:v>
                </c:pt>
                <c:pt idx="156">
                  <c:v>103.16893770793639</c:v>
                </c:pt>
                <c:pt idx="157">
                  <c:v>104.94057410524643</c:v>
                </c:pt>
                <c:pt idx="158">
                  <c:v>106.61146779479974</c:v>
                </c:pt>
                <c:pt idx="159">
                  <c:v>106.83645258570046</c:v>
                </c:pt>
                <c:pt idx="160">
                  <c:v>108.83389455488079</c:v>
                </c:pt>
                <c:pt idx="161">
                  <c:v>110.46815695478379</c:v>
                </c:pt>
                <c:pt idx="162">
                  <c:v>110.64869937175639</c:v>
                </c:pt>
                <c:pt idx="163">
                  <c:v>110.01755391510602</c:v>
                </c:pt>
                <c:pt idx="164">
                  <c:v>108.51599252879809</c:v>
                </c:pt>
                <c:pt idx="165">
                  <c:v>110.28281663636814</c:v>
                </c:pt>
                <c:pt idx="166">
                  <c:v>107.885436827617</c:v>
                </c:pt>
                <c:pt idx="167">
                  <c:v>106.85903318988659</c:v>
                </c:pt>
                <c:pt idx="168">
                  <c:v>105.76242457101945</c:v>
                </c:pt>
                <c:pt idx="169">
                  <c:v>104.74703229340379</c:v>
                </c:pt>
                <c:pt idx="170">
                  <c:v>103.490629115422</c:v>
                </c:pt>
                <c:pt idx="171">
                  <c:v>103.4158303484722</c:v>
                </c:pt>
                <c:pt idx="172">
                  <c:v>103.51943094188381</c:v>
                </c:pt>
                <c:pt idx="173">
                  <c:v>103.0563520041555</c:v>
                </c:pt>
                <c:pt idx="174">
                  <c:v>102.93811090443008</c:v>
                </c:pt>
                <c:pt idx="175">
                  <c:v>104.77303281525712</c:v>
                </c:pt>
                <c:pt idx="176">
                  <c:v>106.70879362408827</c:v>
                </c:pt>
                <c:pt idx="177">
                  <c:v>105.55055533718914</c:v>
                </c:pt>
                <c:pt idx="178">
                  <c:v>105.1943069250552</c:v>
                </c:pt>
                <c:pt idx="179">
                  <c:v>102.92605848821491</c:v>
                </c:pt>
                <c:pt idx="180">
                  <c:v>101.22046613222811</c:v>
                </c:pt>
                <c:pt idx="181">
                  <c:v>100.85803288961897</c:v>
                </c:pt>
                <c:pt idx="182">
                  <c:v>100.33632774308558</c:v>
                </c:pt>
                <c:pt idx="183">
                  <c:v>97.829003110370138</c:v>
                </c:pt>
                <c:pt idx="184">
                  <c:v>99.895525451877276</c:v>
                </c:pt>
                <c:pt idx="185">
                  <c:v>100.72126604324635</c:v>
                </c:pt>
                <c:pt idx="186">
                  <c:v>101.89666123744996</c:v>
                </c:pt>
                <c:pt idx="187">
                  <c:v>101.25987227303425</c:v>
                </c:pt>
                <c:pt idx="188">
                  <c:v>98.644611954826217</c:v>
                </c:pt>
                <c:pt idx="189">
                  <c:v>97.482223074198032</c:v>
                </c:pt>
                <c:pt idx="190">
                  <c:v>99.207450363609894</c:v>
                </c:pt>
                <c:pt idx="191">
                  <c:v>98.225391969796121</c:v>
                </c:pt>
                <c:pt idx="192">
                  <c:v>98.66564588420141</c:v>
                </c:pt>
                <c:pt idx="193">
                  <c:v>98.407069826381303</c:v>
                </c:pt>
                <c:pt idx="194">
                  <c:v>98.388139076405707</c:v>
                </c:pt>
                <c:pt idx="195">
                  <c:v>96.020555609105941</c:v>
                </c:pt>
                <c:pt idx="196">
                  <c:v>97.081591971849662</c:v>
                </c:pt>
                <c:pt idx="197">
                  <c:v>95.500756448560935</c:v>
                </c:pt>
                <c:pt idx="198">
                  <c:v>96.793686868037</c:v>
                </c:pt>
                <c:pt idx="199">
                  <c:v>98.336147907334365</c:v>
                </c:pt>
                <c:pt idx="200">
                  <c:v>98.893575964406281</c:v>
                </c:pt>
                <c:pt idx="201">
                  <c:v>98.485989812041794</c:v>
                </c:pt>
                <c:pt idx="202">
                  <c:v>98.487153069477955</c:v>
                </c:pt>
                <c:pt idx="203">
                  <c:v>98.912819469745799</c:v>
                </c:pt>
                <c:pt idx="204">
                  <c:v>98.959523981805646</c:v>
                </c:pt>
                <c:pt idx="205">
                  <c:v>98.118836873844359</c:v>
                </c:pt>
                <c:pt idx="206">
                  <c:v>99.82158320457728</c:v>
                </c:pt>
                <c:pt idx="207">
                  <c:v>96.957743707310343</c:v>
                </c:pt>
                <c:pt idx="208">
                  <c:v>96.941857105328125</c:v>
                </c:pt>
                <c:pt idx="209">
                  <c:v>96.46949025151099</c:v>
                </c:pt>
                <c:pt idx="210">
                  <c:v>94.26805735232621</c:v>
                </c:pt>
                <c:pt idx="211">
                  <c:v>94.377130005612628</c:v>
                </c:pt>
                <c:pt idx="212">
                  <c:v>94.73810563904928</c:v>
                </c:pt>
                <c:pt idx="213">
                  <c:v>92.341349299467097</c:v>
                </c:pt>
                <c:pt idx="214">
                  <c:v>93.75782916898001</c:v>
                </c:pt>
                <c:pt idx="215">
                  <c:v>95.613463947655475</c:v>
                </c:pt>
                <c:pt idx="216">
                  <c:v>96.871245853801966</c:v>
                </c:pt>
                <c:pt idx="217">
                  <c:v>98.414480887755332</c:v>
                </c:pt>
                <c:pt idx="218">
                  <c:v>98.068817517998639</c:v>
                </c:pt>
                <c:pt idx="219">
                  <c:v>98.667084026230938</c:v>
                </c:pt>
                <c:pt idx="220">
                  <c:v>98.271748587179374</c:v>
                </c:pt>
                <c:pt idx="221">
                  <c:v>97.611013564271147</c:v>
                </c:pt>
                <c:pt idx="222">
                  <c:v>100.24808280818897</c:v>
                </c:pt>
                <c:pt idx="223">
                  <c:v>97.781909193496148</c:v>
                </c:pt>
                <c:pt idx="224">
                  <c:v>97.012139585844139</c:v>
                </c:pt>
                <c:pt idx="225">
                  <c:v>98.757043454285125</c:v>
                </c:pt>
                <c:pt idx="226">
                  <c:v>99.851352255150857</c:v>
                </c:pt>
                <c:pt idx="227">
                  <c:v>99.589735596445379</c:v>
                </c:pt>
                <c:pt idx="228">
                  <c:v>99.081039964628516</c:v>
                </c:pt>
                <c:pt idx="229">
                  <c:v>98.925265343430027</c:v>
                </c:pt>
                <c:pt idx="230">
                  <c:v>99.239497070061617</c:v>
                </c:pt>
                <c:pt idx="231">
                  <c:v>100.80470138763286</c:v>
                </c:pt>
                <c:pt idx="232">
                  <c:v>100.36197297524527</c:v>
                </c:pt>
                <c:pt idx="233">
                  <c:v>100.63904759132774</c:v>
                </c:pt>
                <c:pt idx="234">
                  <c:v>102.41547152746833</c:v>
                </c:pt>
                <c:pt idx="235">
                  <c:v>101.93803353590337</c:v>
                </c:pt>
                <c:pt idx="236">
                  <c:v>101.58159692683346</c:v>
                </c:pt>
                <c:pt idx="237">
                  <c:v>102.42347663972615</c:v>
                </c:pt>
                <c:pt idx="238">
                  <c:v>102.58968828167583</c:v>
                </c:pt>
                <c:pt idx="239">
                  <c:v>103.63975315562159</c:v>
                </c:pt>
                <c:pt idx="240">
                  <c:v>100.7745318658132</c:v>
                </c:pt>
                <c:pt idx="241">
                  <c:v>100.18866641854555</c:v>
                </c:pt>
                <c:pt idx="242">
                  <c:v>97.201802008123693</c:v>
                </c:pt>
                <c:pt idx="243">
                  <c:v>95.59320532953889</c:v>
                </c:pt>
                <c:pt idx="244">
                  <c:v>95.132122462377453</c:v>
                </c:pt>
                <c:pt idx="245">
                  <c:v>94.647830936990573</c:v>
                </c:pt>
                <c:pt idx="246">
                  <c:v>94.724046005588249</c:v>
                </c:pt>
                <c:pt idx="247">
                  <c:v>93.49862605798161</c:v>
                </c:pt>
                <c:pt idx="248">
                  <c:v>92.59906542562149</c:v>
                </c:pt>
                <c:pt idx="249">
                  <c:v>92.684979519416487</c:v>
                </c:pt>
                <c:pt idx="250">
                  <c:v>92.090609415387505</c:v>
                </c:pt>
                <c:pt idx="251">
                  <c:v>91.882682468570081</c:v>
                </c:pt>
                <c:pt idx="252">
                  <c:v>93.688134623891585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46-424B-B710-4E50FBAF585F}"/>
            </c:ext>
          </c:extLst>
        </c:ser>
        <c:ser>
          <c:idx val="4"/>
          <c:order val="4"/>
          <c:marker>
            <c:symbol val="none"/>
          </c:marker>
          <c:val>
            <c:numRef>
              <c:f>Trajectoires!$H$8:$H$260</c:f>
              <c:numCache>
                <c:formatCode>General</c:formatCode>
                <c:ptCount val="253"/>
                <c:pt idx="0">
                  <c:v>100</c:v>
                </c:pt>
                <c:pt idx="1">
                  <c:v>102.6794103617886</c:v>
                </c:pt>
                <c:pt idx="2">
                  <c:v>102.45440416319875</c:v>
                </c:pt>
                <c:pt idx="3">
                  <c:v>102.99478527537097</c:v>
                </c:pt>
                <c:pt idx="4">
                  <c:v>101.40525372684775</c:v>
                </c:pt>
                <c:pt idx="5">
                  <c:v>103.16812390693545</c:v>
                </c:pt>
                <c:pt idx="6">
                  <c:v>105.01068594031362</c:v>
                </c:pt>
                <c:pt idx="7">
                  <c:v>105.7753254785672</c:v>
                </c:pt>
                <c:pt idx="8">
                  <c:v>106.40217288558556</c:v>
                </c:pt>
                <c:pt idx="9">
                  <c:v>106.66341040170833</c:v>
                </c:pt>
                <c:pt idx="10">
                  <c:v>106.76078123220289</c:v>
                </c:pt>
                <c:pt idx="11">
                  <c:v>105.53459158285825</c:v>
                </c:pt>
                <c:pt idx="12">
                  <c:v>106.36488451076713</c:v>
                </c:pt>
                <c:pt idx="13">
                  <c:v>106.78489333110218</c:v>
                </c:pt>
                <c:pt idx="14">
                  <c:v>104.9756606886569</c:v>
                </c:pt>
                <c:pt idx="15">
                  <c:v>102.64659062163973</c:v>
                </c:pt>
                <c:pt idx="16">
                  <c:v>102.67950513576814</c:v>
                </c:pt>
                <c:pt idx="17">
                  <c:v>103.64689340337556</c:v>
                </c:pt>
                <c:pt idx="18">
                  <c:v>102.88483748672189</c:v>
                </c:pt>
                <c:pt idx="19">
                  <c:v>102.48163278303818</c:v>
                </c:pt>
                <c:pt idx="20">
                  <c:v>102.06070271921192</c:v>
                </c:pt>
                <c:pt idx="21">
                  <c:v>101.32643621279065</c:v>
                </c:pt>
                <c:pt idx="22">
                  <c:v>103.27401331760937</c:v>
                </c:pt>
                <c:pt idx="23">
                  <c:v>102.00147804641452</c:v>
                </c:pt>
                <c:pt idx="24">
                  <c:v>101.8305211962146</c:v>
                </c:pt>
                <c:pt idx="25">
                  <c:v>101.93296469267558</c:v>
                </c:pt>
                <c:pt idx="26">
                  <c:v>100.73756632576327</c:v>
                </c:pt>
                <c:pt idx="27">
                  <c:v>99.525311189519698</c:v>
                </c:pt>
                <c:pt idx="28">
                  <c:v>98.874334788032129</c:v>
                </c:pt>
                <c:pt idx="29">
                  <c:v>97.900244670046675</c:v>
                </c:pt>
                <c:pt idx="30">
                  <c:v>97.504029081351661</c:v>
                </c:pt>
                <c:pt idx="31">
                  <c:v>97.587369758403625</c:v>
                </c:pt>
                <c:pt idx="32">
                  <c:v>97.188188953596679</c:v>
                </c:pt>
                <c:pt idx="33">
                  <c:v>98.264513463923791</c:v>
                </c:pt>
                <c:pt idx="34">
                  <c:v>98.334101973377471</c:v>
                </c:pt>
                <c:pt idx="35">
                  <c:v>98.866513936879969</c:v>
                </c:pt>
                <c:pt idx="36">
                  <c:v>98.791775574061077</c:v>
                </c:pt>
                <c:pt idx="37">
                  <c:v>97.906797886200678</c:v>
                </c:pt>
                <c:pt idx="38">
                  <c:v>97.118074086281538</c:v>
                </c:pt>
                <c:pt idx="39">
                  <c:v>97.268010935027007</c:v>
                </c:pt>
                <c:pt idx="40">
                  <c:v>97.126586139275958</c:v>
                </c:pt>
                <c:pt idx="41">
                  <c:v>97.266969744609611</c:v>
                </c:pt>
                <c:pt idx="42">
                  <c:v>97.711502029677845</c:v>
                </c:pt>
                <c:pt idx="43">
                  <c:v>98.096027757267962</c:v>
                </c:pt>
                <c:pt idx="44">
                  <c:v>95.797087442709781</c:v>
                </c:pt>
                <c:pt idx="45">
                  <c:v>97.895403058988904</c:v>
                </c:pt>
                <c:pt idx="46">
                  <c:v>98.657609696200481</c:v>
                </c:pt>
                <c:pt idx="47">
                  <c:v>99.245691239739287</c:v>
                </c:pt>
                <c:pt idx="48">
                  <c:v>99.299215823673876</c:v>
                </c:pt>
                <c:pt idx="49">
                  <c:v>100.18441438131863</c:v>
                </c:pt>
                <c:pt idx="50">
                  <c:v>99.598128591916179</c:v>
                </c:pt>
                <c:pt idx="51">
                  <c:v>100.03250475680359</c:v>
                </c:pt>
                <c:pt idx="52">
                  <c:v>101.51108297082833</c:v>
                </c:pt>
                <c:pt idx="53">
                  <c:v>101.42643742828486</c:v>
                </c:pt>
                <c:pt idx="54">
                  <c:v>99.266559748477164</c:v>
                </c:pt>
                <c:pt idx="55">
                  <c:v>101.7931358729298</c:v>
                </c:pt>
                <c:pt idx="56">
                  <c:v>100.45429656942413</c:v>
                </c:pt>
                <c:pt idx="57">
                  <c:v>99.310590526928166</c:v>
                </c:pt>
                <c:pt idx="58">
                  <c:v>98.672365462286749</c:v>
                </c:pt>
                <c:pt idx="59">
                  <c:v>98.079843473609856</c:v>
                </c:pt>
                <c:pt idx="60">
                  <c:v>97.333546050299347</c:v>
                </c:pt>
                <c:pt idx="61">
                  <c:v>97.522622583641549</c:v>
                </c:pt>
                <c:pt idx="62">
                  <c:v>97.363560223634266</c:v>
                </c:pt>
                <c:pt idx="63">
                  <c:v>95.965254233796728</c:v>
                </c:pt>
                <c:pt idx="64">
                  <c:v>94.986337231237144</c:v>
                </c:pt>
                <c:pt idx="65">
                  <c:v>95.92274124244409</c:v>
                </c:pt>
                <c:pt idx="66">
                  <c:v>96.531720890707476</c:v>
                </c:pt>
                <c:pt idx="67">
                  <c:v>98.313636445124601</c:v>
                </c:pt>
                <c:pt idx="68">
                  <c:v>95.761687514631831</c:v>
                </c:pt>
                <c:pt idx="69">
                  <c:v>95.387181824999175</c:v>
                </c:pt>
                <c:pt idx="70">
                  <c:v>93.230230638040723</c:v>
                </c:pt>
                <c:pt idx="71">
                  <c:v>91.254439035404545</c:v>
                </c:pt>
                <c:pt idx="72">
                  <c:v>91.886124715798942</c:v>
                </c:pt>
                <c:pt idx="73">
                  <c:v>92.141680129295381</c:v>
                </c:pt>
                <c:pt idx="74">
                  <c:v>92.050043246448141</c:v>
                </c:pt>
                <c:pt idx="75">
                  <c:v>92.501755984694626</c:v>
                </c:pt>
                <c:pt idx="76">
                  <c:v>91.157323625518487</c:v>
                </c:pt>
                <c:pt idx="77">
                  <c:v>90.378572475644745</c:v>
                </c:pt>
                <c:pt idx="78">
                  <c:v>91.344391330434647</c:v>
                </c:pt>
                <c:pt idx="79">
                  <c:v>92.423011675745684</c:v>
                </c:pt>
                <c:pt idx="80">
                  <c:v>93.294233746687453</c:v>
                </c:pt>
                <c:pt idx="81">
                  <c:v>92.463831035609175</c:v>
                </c:pt>
                <c:pt idx="82">
                  <c:v>92.794482186764057</c:v>
                </c:pt>
                <c:pt idx="83">
                  <c:v>93.177567470144822</c:v>
                </c:pt>
                <c:pt idx="84">
                  <c:v>92.672922375186147</c:v>
                </c:pt>
                <c:pt idx="85">
                  <c:v>94.237693766036372</c:v>
                </c:pt>
                <c:pt idx="86">
                  <c:v>94.498054823026038</c:v>
                </c:pt>
                <c:pt idx="87">
                  <c:v>96.592981302310349</c:v>
                </c:pt>
                <c:pt idx="88">
                  <c:v>95.29559912043517</c:v>
                </c:pt>
                <c:pt idx="89">
                  <c:v>95.357963300057861</c:v>
                </c:pt>
                <c:pt idx="90">
                  <c:v>95.094710310786439</c:v>
                </c:pt>
                <c:pt idx="91">
                  <c:v>94.535365032720136</c:v>
                </c:pt>
                <c:pt idx="92">
                  <c:v>94.707882769879419</c:v>
                </c:pt>
                <c:pt idx="93">
                  <c:v>94.022652371568086</c:v>
                </c:pt>
                <c:pt idx="94">
                  <c:v>94.805401803743578</c:v>
                </c:pt>
                <c:pt idx="95">
                  <c:v>93.447264331130455</c:v>
                </c:pt>
                <c:pt idx="96">
                  <c:v>93.217278414842525</c:v>
                </c:pt>
                <c:pt idx="97">
                  <c:v>93.936481631732775</c:v>
                </c:pt>
                <c:pt idx="98">
                  <c:v>94.733622266409554</c:v>
                </c:pt>
                <c:pt idx="99">
                  <c:v>94.385097694237643</c:v>
                </c:pt>
                <c:pt idx="100">
                  <c:v>94.089778847255687</c:v>
                </c:pt>
                <c:pt idx="101">
                  <c:v>93.46605172992551</c:v>
                </c:pt>
                <c:pt idx="102">
                  <c:v>94.423321018391334</c:v>
                </c:pt>
                <c:pt idx="103">
                  <c:v>94.297413668283639</c:v>
                </c:pt>
                <c:pt idx="104">
                  <c:v>94.249179681426028</c:v>
                </c:pt>
                <c:pt idx="105">
                  <c:v>94.293226656391042</c:v>
                </c:pt>
                <c:pt idx="106">
                  <c:v>93.760567857378973</c:v>
                </c:pt>
                <c:pt idx="107">
                  <c:v>93.318708055047765</c:v>
                </c:pt>
                <c:pt idx="108">
                  <c:v>93.080526053889372</c:v>
                </c:pt>
                <c:pt idx="109">
                  <c:v>94.553963719507706</c:v>
                </c:pt>
                <c:pt idx="110">
                  <c:v>94.557420251437122</c:v>
                </c:pt>
                <c:pt idx="111">
                  <c:v>94.666235316846524</c:v>
                </c:pt>
                <c:pt idx="112">
                  <c:v>93.866493792286974</c:v>
                </c:pt>
                <c:pt idx="113">
                  <c:v>92.582422720376002</c:v>
                </c:pt>
                <c:pt idx="114">
                  <c:v>92.795060979142988</c:v>
                </c:pt>
                <c:pt idx="115">
                  <c:v>94.266195487107737</c:v>
                </c:pt>
                <c:pt idx="116">
                  <c:v>95.081931146751117</c:v>
                </c:pt>
                <c:pt idx="117">
                  <c:v>98.044053239656236</c:v>
                </c:pt>
                <c:pt idx="118">
                  <c:v>99.004080675624692</c:v>
                </c:pt>
                <c:pt idx="119">
                  <c:v>98.356903883915777</c:v>
                </c:pt>
                <c:pt idx="120">
                  <c:v>96.530134097994974</c:v>
                </c:pt>
                <c:pt idx="121">
                  <c:v>95.105708074458633</c:v>
                </c:pt>
                <c:pt idx="122">
                  <c:v>96.498539938143125</c:v>
                </c:pt>
                <c:pt idx="123">
                  <c:v>97.318436322153602</c:v>
                </c:pt>
                <c:pt idx="124">
                  <c:v>96.550456722579057</c:v>
                </c:pt>
                <c:pt idx="125">
                  <c:v>94.070327759437234</c:v>
                </c:pt>
                <c:pt idx="126">
                  <c:v>92.163609058955558</c:v>
                </c:pt>
                <c:pt idx="127">
                  <c:v>91.243372309148157</c:v>
                </c:pt>
                <c:pt idx="128">
                  <c:v>92.053992516175839</c:v>
                </c:pt>
                <c:pt idx="129">
                  <c:v>90.790877365865072</c:v>
                </c:pt>
                <c:pt idx="130">
                  <c:v>91.21523987266454</c:v>
                </c:pt>
                <c:pt idx="131">
                  <c:v>91.100243163366216</c:v>
                </c:pt>
                <c:pt idx="132">
                  <c:v>91.143505603169174</c:v>
                </c:pt>
                <c:pt idx="133">
                  <c:v>90.686456251293677</c:v>
                </c:pt>
                <c:pt idx="134">
                  <c:v>90.967637346686445</c:v>
                </c:pt>
                <c:pt idx="135">
                  <c:v>91.516165432443145</c:v>
                </c:pt>
                <c:pt idx="136">
                  <c:v>90.67262450948931</c:v>
                </c:pt>
                <c:pt idx="137">
                  <c:v>90.899654151113154</c:v>
                </c:pt>
                <c:pt idx="138">
                  <c:v>89.457904066883657</c:v>
                </c:pt>
                <c:pt idx="139">
                  <c:v>88.922319551610599</c:v>
                </c:pt>
                <c:pt idx="140">
                  <c:v>87.321850898598342</c:v>
                </c:pt>
                <c:pt idx="141">
                  <c:v>86.508126957713145</c:v>
                </c:pt>
                <c:pt idx="142">
                  <c:v>85.048115175757999</c:v>
                </c:pt>
                <c:pt idx="143">
                  <c:v>85.660768907062646</c:v>
                </c:pt>
                <c:pt idx="144">
                  <c:v>83.362353037022558</c:v>
                </c:pt>
                <c:pt idx="145">
                  <c:v>81.17572046293094</c:v>
                </c:pt>
                <c:pt idx="146">
                  <c:v>80.330520765533279</c:v>
                </c:pt>
                <c:pt idx="147">
                  <c:v>78.402302330358324</c:v>
                </c:pt>
                <c:pt idx="148">
                  <c:v>76.229373853353522</c:v>
                </c:pt>
                <c:pt idx="149">
                  <c:v>76.592883122311108</c:v>
                </c:pt>
                <c:pt idx="150">
                  <c:v>74.825548245965138</c:v>
                </c:pt>
                <c:pt idx="151">
                  <c:v>75.69502977960822</c:v>
                </c:pt>
                <c:pt idx="152">
                  <c:v>75.574038787366192</c:v>
                </c:pt>
                <c:pt idx="153">
                  <c:v>74.665162592020067</c:v>
                </c:pt>
                <c:pt idx="154">
                  <c:v>74.226122001924637</c:v>
                </c:pt>
                <c:pt idx="155">
                  <c:v>75.976947686640486</c:v>
                </c:pt>
                <c:pt idx="156">
                  <c:v>75.751224433747197</c:v>
                </c:pt>
                <c:pt idx="157">
                  <c:v>76.327218644348363</c:v>
                </c:pt>
                <c:pt idx="158">
                  <c:v>75.242024952959511</c:v>
                </c:pt>
                <c:pt idx="159">
                  <c:v>74.591858826966003</c:v>
                </c:pt>
                <c:pt idx="160">
                  <c:v>75.403869923417602</c:v>
                </c:pt>
                <c:pt idx="161">
                  <c:v>75.682251140620409</c:v>
                </c:pt>
                <c:pt idx="162">
                  <c:v>74.47082907587918</c:v>
                </c:pt>
                <c:pt idx="163">
                  <c:v>74.472896117798484</c:v>
                </c:pt>
                <c:pt idx="164">
                  <c:v>74.630285614561799</c:v>
                </c:pt>
                <c:pt idx="165">
                  <c:v>75.096678578815315</c:v>
                </c:pt>
                <c:pt idx="166">
                  <c:v>76.778008260490239</c:v>
                </c:pt>
                <c:pt idx="167">
                  <c:v>76.506608003716977</c:v>
                </c:pt>
                <c:pt idx="168">
                  <c:v>75.669856082783113</c:v>
                </c:pt>
                <c:pt idx="169">
                  <c:v>75.468085359781725</c:v>
                </c:pt>
                <c:pt idx="170">
                  <c:v>75.452842228052361</c:v>
                </c:pt>
                <c:pt idx="171">
                  <c:v>76.698904291826096</c:v>
                </c:pt>
                <c:pt idx="172">
                  <c:v>75.968748930176545</c:v>
                </c:pt>
                <c:pt idx="173">
                  <c:v>76.360109032305417</c:v>
                </c:pt>
                <c:pt idx="174">
                  <c:v>75.844116062480424</c:v>
                </c:pt>
                <c:pt idx="175">
                  <c:v>74.852275742642888</c:v>
                </c:pt>
                <c:pt idx="176">
                  <c:v>74.820266170393296</c:v>
                </c:pt>
                <c:pt idx="177">
                  <c:v>75.846617882806981</c:v>
                </c:pt>
                <c:pt idx="178">
                  <c:v>75.110089932657544</c:v>
                </c:pt>
                <c:pt idx="179">
                  <c:v>76.104102223258565</c:v>
                </c:pt>
                <c:pt idx="180">
                  <c:v>76.13587276008171</c:v>
                </c:pt>
                <c:pt idx="181">
                  <c:v>75.299162694926991</c:v>
                </c:pt>
                <c:pt idx="182">
                  <c:v>75.041165214612647</c:v>
                </c:pt>
                <c:pt idx="183">
                  <c:v>75.439316603187649</c:v>
                </c:pt>
                <c:pt idx="184">
                  <c:v>75.811562252584508</c:v>
                </c:pt>
                <c:pt idx="185">
                  <c:v>75.76278853055976</c:v>
                </c:pt>
                <c:pt idx="186">
                  <c:v>76.258679258183889</c:v>
                </c:pt>
                <c:pt idx="187">
                  <c:v>77.942133672923532</c:v>
                </c:pt>
                <c:pt idx="188">
                  <c:v>78.930981642237739</c:v>
                </c:pt>
                <c:pt idx="189">
                  <c:v>77.485455694101489</c:v>
                </c:pt>
                <c:pt idx="190">
                  <c:v>76.783653977959034</c:v>
                </c:pt>
                <c:pt idx="191">
                  <c:v>75.884681740239643</c:v>
                </c:pt>
                <c:pt idx="192">
                  <c:v>76.441521891397159</c:v>
                </c:pt>
                <c:pt idx="193">
                  <c:v>76.284198867185808</c:v>
                </c:pt>
                <c:pt idx="194">
                  <c:v>75.337841348086414</c:v>
                </c:pt>
                <c:pt idx="195">
                  <c:v>76.007766877339449</c:v>
                </c:pt>
                <c:pt idx="196">
                  <c:v>75.835107742202709</c:v>
                </c:pt>
                <c:pt idx="197">
                  <c:v>76.246054403086831</c:v>
                </c:pt>
                <c:pt idx="198">
                  <c:v>76.34091566023632</c:v>
                </c:pt>
                <c:pt idx="199">
                  <c:v>75.643407544086529</c:v>
                </c:pt>
                <c:pt idx="200">
                  <c:v>75.724750104856213</c:v>
                </c:pt>
                <c:pt idx="201">
                  <c:v>76.749232203479707</c:v>
                </c:pt>
                <c:pt idx="202">
                  <c:v>76.773918449013678</c:v>
                </c:pt>
                <c:pt idx="203">
                  <c:v>77.481665280720136</c:v>
                </c:pt>
                <c:pt idx="204">
                  <c:v>75.346521765305781</c:v>
                </c:pt>
                <c:pt idx="205">
                  <c:v>74.607206918059532</c:v>
                </c:pt>
                <c:pt idx="206">
                  <c:v>75.343055659077777</c:v>
                </c:pt>
                <c:pt idx="207">
                  <c:v>75.756245112892714</c:v>
                </c:pt>
                <c:pt idx="208">
                  <c:v>75.793375809199148</c:v>
                </c:pt>
                <c:pt idx="209">
                  <c:v>76.293042622424665</c:v>
                </c:pt>
                <c:pt idx="210">
                  <c:v>76.870172193665525</c:v>
                </c:pt>
                <c:pt idx="211">
                  <c:v>76.792736985405767</c:v>
                </c:pt>
                <c:pt idx="212">
                  <c:v>77.219404931021913</c:v>
                </c:pt>
                <c:pt idx="213">
                  <c:v>76.442055341924402</c:v>
                </c:pt>
                <c:pt idx="214">
                  <c:v>77.220721309377723</c:v>
                </c:pt>
                <c:pt idx="215">
                  <c:v>79.021376291452725</c:v>
                </c:pt>
                <c:pt idx="216">
                  <c:v>78.778360035465752</c:v>
                </c:pt>
                <c:pt idx="217">
                  <c:v>78.535402939666852</c:v>
                </c:pt>
                <c:pt idx="218">
                  <c:v>80.363127837170623</c:v>
                </c:pt>
                <c:pt idx="219">
                  <c:v>79.319144454338101</c:v>
                </c:pt>
                <c:pt idx="220">
                  <c:v>80.125669087304544</c:v>
                </c:pt>
                <c:pt idx="221">
                  <c:v>80.789746510425786</c:v>
                </c:pt>
                <c:pt idx="222">
                  <c:v>79.703531177846401</c:v>
                </c:pt>
                <c:pt idx="223">
                  <c:v>79.141928437149559</c:v>
                </c:pt>
                <c:pt idx="224">
                  <c:v>79.961242937956953</c:v>
                </c:pt>
                <c:pt idx="225">
                  <c:v>78.563028304165712</c:v>
                </c:pt>
                <c:pt idx="226">
                  <c:v>77.570118606837013</c:v>
                </c:pt>
                <c:pt idx="227">
                  <c:v>77.816431492201886</c:v>
                </c:pt>
                <c:pt idx="228">
                  <c:v>77.224168468641579</c:v>
                </c:pt>
                <c:pt idx="229">
                  <c:v>76.773805219282281</c:v>
                </c:pt>
                <c:pt idx="230">
                  <c:v>78.086379435955052</c:v>
                </c:pt>
                <c:pt idx="231">
                  <c:v>78.77186580268588</c:v>
                </c:pt>
                <c:pt idx="232">
                  <c:v>78.69098005064221</c:v>
                </c:pt>
                <c:pt idx="233">
                  <c:v>77.372254579800966</c:v>
                </c:pt>
                <c:pt idx="234">
                  <c:v>76.301637831040154</c:v>
                </c:pt>
                <c:pt idx="235">
                  <c:v>75.575192240594774</c:v>
                </c:pt>
                <c:pt idx="236">
                  <c:v>77.177643407757344</c:v>
                </c:pt>
                <c:pt idx="237">
                  <c:v>79.007836600602374</c:v>
                </c:pt>
                <c:pt idx="238">
                  <c:v>78.949018140334374</c:v>
                </c:pt>
                <c:pt idx="239">
                  <c:v>79.845915304314119</c:v>
                </c:pt>
                <c:pt idx="240">
                  <c:v>78.515835913932506</c:v>
                </c:pt>
                <c:pt idx="241">
                  <c:v>76.134979897319411</c:v>
                </c:pt>
                <c:pt idx="242">
                  <c:v>76.417893924025179</c:v>
                </c:pt>
                <c:pt idx="243">
                  <c:v>77.554043353024582</c:v>
                </c:pt>
                <c:pt idx="244">
                  <c:v>75.035547377436444</c:v>
                </c:pt>
                <c:pt idx="245">
                  <c:v>74.485824703268918</c:v>
                </c:pt>
                <c:pt idx="246">
                  <c:v>75.768251440574602</c:v>
                </c:pt>
                <c:pt idx="247">
                  <c:v>74.627126860542575</c:v>
                </c:pt>
                <c:pt idx="248">
                  <c:v>74.634039006258007</c:v>
                </c:pt>
                <c:pt idx="249">
                  <c:v>75.224951232011151</c:v>
                </c:pt>
                <c:pt idx="250">
                  <c:v>75.028113196503554</c:v>
                </c:pt>
                <c:pt idx="251">
                  <c:v>75.859451760863777</c:v>
                </c:pt>
                <c:pt idx="252">
                  <c:v>76.906712194500457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46-424B-B710-4E50FBAF585F}"/>
            </c:ext>
          </c:extLst>
        </c:ser>
        <c:ser>
          <c:idx val="5"/>
          <c:order val="5"/>
          <c:marker>
            <c:symbol val="none"/>
          </c:marker>
          <c:val>
            <c:numRef>
              <c:f>Trajectoires!$I$8:$I$260</c:f>
              <c:numCache>
                <c:formatCode>General</c:formatCode>
                <c:ptCount val="253"/>
                <c:pt idx="0">
                  <c:v>100</c:v>
                </c:pt>
                <c:pt idx="1">
                  <c:v>100.96805902464934</c:v>
                </c:pt>
                <c:pt idx="2">
                  <c:v>101.14553503705996</c:v>
                </c:pt>
                <c:pt idx="3">
                  <c:v>99.771405988228295</c:v>
                </c:pt>
                <c:pt idx="4">
                  <c:v>100.15477570125638</c:v>
                </c:pt>
                <c:pt idx="5">
                  <c:v>101.67738355465157</c:v>
                </c:pt>
                <c:pt idx="6">
                  <c:v>103.10769538297731</c:v>
                </c:pt>
                <c:pt idx="7">
                  <c:v>102.29263707773056</c:v>
                </c:pt>
                <c:pt idx="8">
                  <c:v>103.01345747025506</c:v>
                </c:pt>
                <c:pt idx="9">
                  <c:v>102.37661203336738</c:v>
                </c:pt>
                <c:pt idx="10">
                  <c:v>102.86575552115461</c:v>
                </c:pt>
                <c:pt idx="11">
                  <c:v>103.33838678653585</c:v>
                </c:pt>
                <c:pt idx="12">
                  <c:v>106.28566249852997</c:v>
                </c:pt>
                <c:pt idx="13">
                  <c:v>105.60414515972307</c:v>
                </c:pt>
                <c:pt idx="14">
                  <c:v>108.1662499899237</c:v>
                </c:pt>
                <c:pt idx="15">
                  <c:v>107.73150161659862</c:v>
                </c:pt>
                <c:pt idx="16">
                  <c:v>106.15129596986017</c:v>
                </c:pt>
                <c:pt idx="17">
                  <c:v>106.1597938173645</c:v>
                </c:pt>
                <c:pt idx="18">
                  <c:v>106.65303718722171</c:v>
                </c:pt>
                <c:pt idx="19">
                  <c:v>105.55289196842756</c:v>
                </c:pt>
                <c:pt idx="20">
                  <c:v>105.69634957399744</c:v>
                </c:pt>
                <c:pt idx="21">
                  <c:v>104.59146878939049</c:v>
                </c:pt>
                <c:pt idx="22">
                  <c:v>105.26239985574324</c:v>
                </c:pt>
                <c:pt idx="23">
                  <c:v>105.07091848835024</c:v>
                </c:pt>
                <c:pt idx="24">
                  <c:v>106.57140020873905</c:v>
                </c:pt>
                <c:pt idx="25">
                  <c:v>107.98853334871346</c:v>
                </c:pt>
                <c:pt idx="26">
                  <c:v>108.41504225833643</c:v>
                </c:pt>
                <c:pt idx="27">
                  <c:v>110.33573047767719</c:v>
                </c:pt>
                <c:pt idx="28">
                  <c:v>109.44668131828</c:v>
                </c:pt>
                <c:pt idx="29">
                  <c:v>109.75011678083422</c:v>
                </c:pt>
                <c:pt idx="30">
                  <c:v>110.9846661288321</c:v>
                </c:pt>
                <c:pt idx="31">
                  <c:v>110.3753841304549</c:v>
                </c:pt>
                <c:pt idx="32">
                  <c:v>110.09315106220858</c:v>
                </c:pt>
                <c:pt idx="33">
                  <c:v>111.8136339927389</c:v>
                </c:pt>
                <c:pt idx="34">
                  <c:v>111.2269954998648</c:v>
                </c:pt>
                <c:pt idx="35">
                  <c:v>111.60206984411947</c:v>
                </c:pt>
                <c:pt idx="36">
                  <c:v>113.22428392202988</c:v>
                </c:pt>
                <c:pt idx="37">
                  <c:v>113.01556255161475</c:v>
                </c:pt>
                <c:pt idx="38">
                  <c:v>111.1051244974404</c:v>
                </c:pt>
                <c:pt idx="39">
                  <c:v>109.57162800345883</c:v>
                </c:pt>
                <c:pt idx="40">
                  <c:v>108.39136114897637</c:v>
                </c:pt>
                <c:pt idx="41">
                  <c:v>108.55422104976749</c:v>
                </c:pt>
                <c:pt idx="42">
                  <c:v>109.23717623221565</c:v>
                </c:pt>
                <c:pt idx="43">
                  <c:v>110.16210819104438</c:v>
                </c:pt>
                <c:pt idx="44">
                  <c:v>111.7825940413862</c:v>
                </c:pt>
                <c:pt idx="45">
                  <c:v>112.47153238989681</c:v>
                </c:pt>
                <c:pt idx="46">
                  <c:v>113.4477985875283</c:v>
                </c:pt>
                <c:pt idx="47">
                  <c:v>112.592781877579</c:v>
                </c:pt>
                <c:pt idx="48">
                  <c:v>112.7424752077039</c:v>
                </c:pt>
                <c:pt idx="49">
                  <c:v>112.20572146598312</c:v>
                </c:pt>
                <c:pt idx="50">
                  <c:v>111.78000620258085</c:v>
                </c:pt>
                <c:pt idx="51">
                  <c:v>112.52838541341886</c:v>
                </c:pt>
                <c:pt idx="52">
                  <c:v>110.78667519295585</c:v>
                </c:pt>
                <c:pt idx="53">
                  <c:v>112.51501042807713</c:v>
                </c:pt>
                <c:pt idx="54">
                  <c:v>110.46769679072196</c:v>
                </c:pt>
                <c:pt idx="55">
                  <c:v>113.04195312290105</c:v>
                </c:pt>
                <c:pt idx="56">
                  <c:v>112.13375769866276</c:v>
                </c:pt>
                <c:pt idx="57">
                  <c:v>111.07361293537797</c:v>
                </c:pt>
                <c:pt idx="58">
                  <c:v>109.60588057941759</c:v>
                </c:pt>
                <c:pt idx="59">
                  <c:v>108.52643737723281</c:v>
                </c:pt>
                <c:pt idx="60">
                  <c:v>108.29937664890225</c:v>
                </c:pt>
                <c:pt idx="61">
                  <c:v>107.54623724178886</c:v>
                </c:pt>
                <c:pt idx="62">
                  <c:v>108.40397383448072</c:v>
                </c:pt>
                <c:pt idx="63">
                  <c:v>105.88172240819257</c:v>
                </c:pt>
                <c:pt idx="64">
                  <c:v>107.00818781817077</c:v>
                </c:pt>
                <c:pt idx="65">
                  <c:v>107.21136664685261</c:v>
                </c:pt>
                <c:pt idx="66">
                  <c:v>105.67462802064252</c:v>
                </c:pt>
                <c:pt idx="67">
                  <c:v>104.96562641097546</c:v>
                </c:pt>
                <c:pt idx="68">
                  <c:v>105.6422939367346</c:v>
                </c:pt>
                <c:pt idx="69">
                  <c:v>107.69477996150239</c:v>
                </c:pt>
                <c:pt idx="70">
                  <c:v>107.93692321951124</c:v>
                </c:pt>
                <c:pt idx="71">
                  <c:v>110.00059412238522</c:v>
                </c:pt>
                <c:pt idx="72">
                  <c:v>110.79416984492852</c:v>
                </c:pt>
                <c:pt idx="73">
                  <c:v>109.13043793319385</c:v>
                </c:pt>
                <c:pt idx="74">
                  <c:v>109.20369096654225</c:v>
                </c:pt>
                <c:pt idx="75">
                  <c:v>108.6695695416022</c:v>
                </c:pt>
                <c:pt idx="76">
                  <c:v>107.74118819458779</c:v>
                </c:pt>
                <c:pt idx="77">
                  <c:v>108.5115464541316</c:v>
                </c:pt>
                <c:pt idx="78">
                  <c:v>109.15810919221775</c:v>
                </c:pt>
                <c:pt idx="79">
                  <c:v>112.96567559891746</c:v>
                </c:pt>
                <c:pt idx="80">
                  <c:v>115.33112275084933</c:v>
                </c:pt>
                <c:pt idx="81">
                  <c:v>115.53750407055118</c:v>
                </c:pt>
                <c:pt idx="82">
                  <c:v>115.28140992974515</c:v>
                </c:pt>
                <c:pt idx="83">
                  <c:v>114.99235282926318</c:v>
                </c:pt>
                <c:pt idx="84">
                  <c:v>114.4801945604564</c:v>
                </c:pt>
                <c:pt idx="85">
                  <c:v>112.01634749692367</c:v>
                </c:pt>
                <c:pt idx="86">
                  <c:v>113.18818492127602</c:v>
                </c:pt>
                <c:pt idx="87">
                  <c:v>115.41265922146646</c:v>
                </c:pt>
                <c:pt idx="88">
                  <c:v>111.0816137238829</c:v>
                </c:pt>
                <c:pt idx="89">
                  <c:v>110.30280309860396</c:v>
                </c:pt>
                <c:pt idx="90">
                  <c:v>111.03780324081754</c:v>
                </c:pt>
                <c:pt idx="91">
                  <c:v>112.20014362148191</c:v>
                </c:pt>
                <c:pt idx="92">
                  <c:v>112.79242091156677</c:v>
                </c:pt>
                <c:pt idx="93">
                  <c:v>112.40575499575164</c:v>
                </c:pt>
                <c:pt idx="94">
                  <c:v>109.53069400700232</c:v>
                </c:pt>
                <c:pt idx="95">
                  <c:v>107.20146789772859</c:v>
                </c:pt>
                <c:pt idx="96">
                  <c:v>107.37819982854106</c:v>
                </c:pt>
                <c:pt idx="97">
                  <c:v>108.27951624657153</c:v>
                </c:pt>
                <c:pt idx="98">
                  <c:v>108.5976457898394</c:v>
                </c:pt>
                <c:pt idx="99">
                  <c:v>109.46585778673212</c:v>
                </c:pt>
                <c:pt idx="100">
                  <c:v>109.77634182566756</c:v>
                </c:pt>
                <c:pt idx="101">
                  <c:v>110.78783975249678</c:v>
                </c:pt>
                <c:pt idx="102">
                  <c:v>113.34463943949918</c:v>
                </c:pt>
                <c:pt idx="103">
                  <c:v>112.44621962839942</c:v>
                </c:pt>
                <c:pt idx="104">
                  <c:v>113.83327412442942</c:v>
                </c:pt>
                <c:pt idx="105">
                  <c:v>113.30951884096285</c:v>
                </c:pt>
                <c:pt idx="106">
                  <c:v>114.72061458929424</c:v>
                </c:pt>
                <c:pt idx="107">
                  <c:v>114.2972251006791</c:v>
                </c:pt>
                <c:pt idx="108">
                  <c:v>112.93037967582259</c:v>
                </c:pt>
                <c:pt idx="109">
                  <c:v>111.33557853236549</c:v>
                </c:pt>
                <c:pt idx="110">
                  <c:v>111.24366778677182</c:v>
                </c:pt>
                <c:pt idx="111">
                  <c:v>109.44895063792433</c:v>
                </c:pt>
                <c:pt idx="112">
                  <c:v>112.07635764760245</c:v>
                </c:pt>
                <c:pt idx="113">
                  <c:v>112.46247395474332</c:v>
                </c:pt>
                <c:pt idx="114">
                  <c:v>111.43665350962571</c:v>
                </c:pt>
                <c:pt idx="115">
                  <c:v>110.21138654272474</c:v>
                </c:pt>
                <c:pt idx="116">
                  <c:v>108.16072370806688</c:v>
                </c:pt>
                <c:pt idx="117">
                  <c:v>109.11377937977367</c:v>
                </c:pt>
                <c:pt idx="118">
                  <c:v>107.67901827126036</c:v>
                </c:pt>
                <c:pt idx="119">
                  <c:v>109.29339180475216</c:v>
                </c:pt>
                <c:pt idx="120">
                  <c:v>110.1289015313949</c:v>
                </c:pt>
                <c:pt idx="121">
                  <c:v>109.59602612055163</c:v>
                </c:pt>
                <c:pt idx="122">
                  <c:v>109.14313652112868</c:v>
                </c:pt>
                <c:pt idx="123">
                  <c:v>109.45181058045141</c:v>
                </c:pt>
                <c:pt idx="124">
                  <c:v>108.96459258537359</c:v>
                </c:pt>
                <c:pt idx="125">
                  <c:v>110.59949034434776</c:v>
                </c:pt>
                <c:pt idx="126">
                  <c:v>111.49823066105385</c:v>
                </c:pt>
                <c:pt idx="127">
                  <c:v>110.78449614697152</c:v>
                </c:pt>
                <c:pt idx="128">
                  <c:v>109.47951985317236</c:v>
                </c:pt>
                <c:pt idx="129">
                  <c:v>110.13472030091684</c:v>
                </c:pt>
                <c:pt idx="130">
                  <c:v>110.54611082681657</c:v>
                </c:pt>
                <c:pt idx="131">
                  <c:v>109.25187158552312</c:v>
                </c:pt>
                <c:pt idx="132">
                  <c:v>110.65716587403709</c:v>
                </c:pt>
                <c:pt idx="133">
                  <c:v>110.97686702966311</c:v>
                </c:pt>
                <c:pt idx="134">
                  <c:v>111.23345754907173</c:v>
                </c:pt>
                <c:pt idx="135">
                  <c:v>113.46168377963724</c:v>
                </c:pt>
                <c:pt idx="136">
                  <c:v>113.74219716574235</c:v>
                </c:pt>
                <c:pt idx="137">
                  <c:v>113.65835705964288</c:v>
                </c:pt>
                <c:pt idx="138">
                  <c:v>112.86808445925739</c:v>
                </c:pt>
                <c:pt idx="139">
                  <c:v>114.80207602441045</c:v>
                </c:pt>
                <c:pt idx="140">
                  <c:v>115.51287692145856</c:v>
                </c:pt>
                <c:pt idx="141">
                  <c:v>112.1849679135195</c:v>
                </c:pt>
                <c:pt idx="142">
                  <c:v>111.69924980114392</c:v>
                </c:pt>
                <c:pt idx="143">
                  <c:v>112.81796838164533</c:v>
                </c:pt>
                <c:pt idx="144">
                  <c:v>113.90229131545021</c:v>
                </c:pt>
                <c:pt idx="145">
                  <c:v>113.75991874790741</c:v>
                </c:pt>
                <c:pt idx="146">
                  <c:v>112.78560698484401</c:v>
                </c:pt>
                <c:pt idx="147">
                  <c:v>111.13157890814409</c:v>
                </c:pt>
                <c:pt idx="148">
                  <c:v>111.11841646914381</c:v>
                </c:pt>
                <c:pt idx="149">
                  <c:v>111.97234271244781</c:v>
                </c:pt>
                <c:pt idx="150">
                  <c:v>112.44437983039232</c:v>
                </c:pt>
                <c:pt idx="151">
                  <c:v>110.91204997330401</c:v>
                </c:pt>
                <c:pt idx="152">
                  <c:v>110.12667509865391</c:v>
                </c:pt>
                <c:pt idx="153">
                  <c:v>107.87799413892857</c:v>
                </c:pt>
                <c:pt idx="154">
                  <c:v>106.63637089514617</c:v>
                </c:pt>
                <c:pt idx="155">
                  <c:v>104.15197650581528</c:v>
                </c:pt>
                <c:pt idx="156">
                  <c:v>104.54670132201636</c:v>
                </c:pt>
                <c:pt idx="157">
                  <c:v>104.46763889971378</c:v>
                </c:pt>
                <c:pt idx="158">
                  <c:v>102.91502448446396</c:v>
                </c:pt>
                <c:pt idx="159">
                  <c:v>105.34304973007616</c:v>
                </c:pt>
                <c:pt idx="160">
                  <c:v>105.44922878449317</c:v>
                </c:pt>
                <c:pt idx="161">
                  <c:v>104.0881437839361</c:v>
                </c:pt>
                <c:pt idx="162">
                  <c:v>104.72567699458527</c:v>
                </c:pt>
                <c:pt idx="163">
                  <c:v>106.96444657325726</c:v>
                </c:pt>
                <c:pt idx="164">
                  <c:v>107.31756579383413</c:v>
                </c:pt>
                <c:pt idx="165">
                  <c:v>106.39371407431301</c:v>
                </c:pt>
                <c:pt idx="166">
                  <c:v>106.93644517521601</c:v>
                </c:pt>
                <c:pt idx="167">
                  <c:v>107.83202842444716</c:v>
                </c:pt>
                <c:pt idx="168">
                  <c:v>107.7240802857592</c:v>
                </c:pt>
                <c:pt idx="169">
                  <c:v>108.08969836317485</c:v>
                </c:pt>
                <c:pt idx="170">
                  <c:v>108.20942467986347</c:v>
                </c:pt>
                <c:pt idx="171">
                  <c:v>109.60524703994973</c:v>
                </c:pt>
                <c:pt idx="172">
                  <c:v>109.241705865852</c:v>
                </c:pt>
                <c:pt idx="173">
                  <c:v>109.08611575060561</c:v>
                </c:pt>
                <c:pt idx="174">
                  <c:v>108.30935652894331</c:v>
                </c:pt>
                <c:pt idx="175">
                  <c:v>108.23050560287932</c:v>
                </c:pt>
                <c:pt idx="176">
                  <c:v>108.91494986501912</c:v>
                </c:pt>
                <c:pt idx="177">
                  <c:v>106.03272121201339</c:v>
                </c:pt>
                <c:pt idx="178">
                  <c:v>107.49879501353529</c:v>
                </c:pt>
                <c:pt idx="179">
                  <c:v>107.05637567626398</c:v>
                </c:pt>
                <c:pt idx="180">
                  <c:v>106.9084060326748</c:v>
                </c:pt>
                <c:pt idx="181">
                  <c:v>106.10863938600536</c:v>
                </c:pt>
                <c:pt idx="182">
                  <c:v>105.00590223253748</c:v>
                </c:pt>
                <c:pt idx="183">
                  <c:v>104.82458506240648</c:v>
                </c:pt>
                <c:pt idx="184">
                  <c:v>105.4123452876712</c:v>
                </c:pt>
                <c:pt idx="185">
                  <c:v>104.62302503039392</c:v>
                </c:pt>
                <c:pt idx="186">
                  <c:v>102.98446609045801</c:v>
                </c:pt>
                <c:pt idx="187">
                  <c:v>104.03738079854344</c:v>
                </c:pt>
                <c:pt idx="188">
                  <c:v>105.05355797317854</c:v>
                </c:pt>
                <c:pt idx="189">
                  <c:v>108.50070521290831</c:v>
                </c:pt>
                <c:pt idx="190">
                  <c:v>106.39499509822632</c:v>
                </c:pt>
                <c:pt idx="191">
                  <c:v>105.63668362707027</c:v>
                </c:pt>
                <c:pt idx="192">
                  <c:v>105.16222343950294</c:v>
                </c:pt>
                <c:pt idx="193">
                  <c:v>106.66029776535242</c:v>
                </c:pt>
                <c:pt idx="194">
                  <c:v>108.38897363946622</c:v>
                </c:pt>
                <c:pt idx="195">
                  <c:v>107.56292723015983</c:v>
                </c:pt>
                <c:pt idx="196">
                  <c:v>107.11709686198682</c:v>
                </c:pt>
                <c:pt idx="197">
                  <c:v>105.41316591107538</c:v>
                </c:pt>
                <c:pt idx="198">
                  <c:v>105.01416361160247</c:v>
                </c:pt>
                <c:pt idx="199">
                  <c:v>105.05302402693427</c:v>
                </c:pt>
                <c:pt idx="200">
                  <c:v>104.3640365314119</c:v>
                </c:pt>
                <c:pt idx="201">
                  <c:v>106.39898341189735</c:v>
                </c:pt>
                <c:pt idx="202">
                  <c:v>107.30943091240452</c:v>
                </c:pt>
                <c:pt idx="203">
                  <c:v>106.79760654174382</c:v>
                </c:pt>
                <c:pt idx="204">
                  <c:v>107.66222136001706</c:v>
                </c:pt>
                <c:pt idx="205">
                  <c:v>109.4301009258934</c:v>
                </c:pt>
                <c:pt idx="206">
                  <c:v>109.20936782314438</c:v>
                </c:pt>
                <c:pt idx="207">
                  <c:v>107.96997816638991</c:v>
                </c:pt>
                <c:pt idx="208">
                  <c:v>109.69186763293818</c:v>
                </c:pt>
                <c:pt idx="209">
                  <c:v>108.19777910588911</c:v>
                </c:pt>
                <c:pt idx="210">
                  <c:v>108.97357775577089</c:v>
                </c:pt>
                <c:pt idx="211">
                  <c:v>108.0833029519283</c:v>
                </c:pt>
                <c:pt idx="212">
                  <c:v>109.45521476410167</c:v>
                </c:pt>
                <c:pt idx="213">
                  <c:v>110.17974373624239</c:v>
                </c:pt>
                <c:pt idx="214">
                  <c:v>108.20415216559907</c:v>
                </c:pt>
                <c:pt idx="215">
                  <c:v>110.5142144626778</c:v>
                </c:pt>
                <c:pt idx="216">
                  <c:v>110.61999468346448</c:v>
                </c:pt>
                <c:pt idx="217">
                  <c:v>112.2602105960584</c:v>
                </c:pt>
                <c:pt idx="218">
                  <c:v>112.70912248468238</c:v>
                </c:pt>
                <c:pt idx="219">
                  <c:v>114.1395137548016</c:v>
                </c:pt>
                <c:pt idx="220">
                  <c:v>114.5606465495039</c:v>
                </c:pt>
                <c:pt idx="221">
                  <c:v>115.14716307524135</c:v>
                </c:pt>
                <c:pt idx="222">
                  <c:v>115.01524819810045</c:v>
                </c:pt>
                <c:pt idx="223">
                  <c:v>115.24657606823426</c:v>
                </c:pt>
                <c:pt idx="224">
                  <c:v>117.46888924381339</c:v>
                </c:pt>
                <c:pt idx="225">
                  <c:v>116.53187896192055</c:v>
                </c:pt>
                <c:pt idx="226">
                  <c:v>116.44802574915984</c:v>
                </c:pt>
                <c:pt idx="227">
                  <c:v>115.54859445660654</c:v>
                </c:pt>
                <c:pt idx="228">
                  <c:v>116.46361596809673</c:v>
                </c:pt>
                <c:pt idx="229">
                  <c:v>118.92446310711638</c:v>
                </c:pt>
                <c:pt idx="230">
                  <c:v>118.95127295100959</c:v>
                </c:pt>
                <c:pt idx="231">
                  <c:v>116.87040235847849</c:v>
                </c:pt>
                <c:pt idx="232">
                  <c:v>116.12362295180324</c:v>
                </c:pt>
                <c:pt idx="233">
                  <c:v>115.97525235290689</c:v>
                </c:pt>
                <c:pt idx="234">
                  <c:v>114.37544646590086</c:v>
                </c:pt>
                <c:pt idx="235">
                  <c:v>115.46095841188928</c:v>
                </c:pt>
                <c:pt idx="236">
                  <c:v>118.16995849901399</c:v>
                </c:pt>
                <c:pt idx="237">
                  <c:v>119.48933133993057</c:v>
                </c:pt>
                <c:pt idx="238">
                  <c:v>119.61562007939409</c:v>
                </c:pt>
                <c:pt idx="239">
                  <c:v>121.44124248082174</c:v>
                </c:pt>
                <c:pt idx="240">
                  <c:v>120.98161373017592</c:v>
                </c:pt>
                <c:pt idx="241">
                  <c:v>119.05230679145146</c:v>
                </c:pt>
                <c:pt idx="242">
                  <c:v>119.90057792725821</c:v>
                </c:pt>
                <c:pt idx="243">
                  <c:v>119.79924456517136</c:v>
                </c:pt>
                <c:pt idx="244">
                  <c:v>119.64037444080114</c:v>
                </c:pt>
                <c:pt idx="245">
                  <c:v>119.01797676552412</c:v>
                </c:pt>
                <c:pt idx="246">
                  <c:v>117.14256210555308</c:v>
                </c:pt>
                <c:pt idx="247">
                  <c:v>117.10405777868745</c:v>
                </c:pt>
                <c:pt idx="248">
                  <c:v>116.76711522741843</c:v>
                </c:pt>
                <c:pt idx="249">
                  <c:v>116.44900015322621</c:v>
                </c:pt>
                <c:pt idx="250">
                  <c:v>116.0444055174746</c:v>
                </c:pt>
                <c:pt idx="251">
                  <c:v>113.23451712162429</c:v>
                </c:pt>
                <c:pt idx="252">
                  <c:v>111.25621785169133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46-424B-B710-4E50FBAF585F}"/>
            </c:ext>
          </c:extLst>
        </c:ser>
        <c:ser>
          <c:idx val="6"/>
          <c:order val="6"/>
          <c:marker>
            <c:symbol val="none"/>
          </c:marker>
          <c:val>
            <c:numRef>
              <c:f>Trajectoires!$J$8:$J$260</c:f>
              <c:numCache>
                <c:formatCode>General</c:formatCode>
                <c:ptCount val="253"/>
                <c:pt idx="0">
                  <c:v>100</c:v>
                </c:pt>
                <c:pt idx="1">
                  <c:v>102.60889743523593</c:v>
                </c:pt>
                <c:pt idx="2">
                  <c:v>101.678461935897</c:v>
                </c:pt>
                <c:pt idx="3">
                  <c:v>102.54645358658746</c:v>
                </c:pt>
                <c:pt idx="4">
                  <c:v>101.86376894552134</c:v>
                </c:pt>
                <c:pt idx="5">
                  <c:v>101.11402634174365</c:v>
                </c:pt>
                <c:pt idx="6">
                  <c:v>100.42435283005493</c:v>
                </c:pt>
                <c:pt idx="7">
                  <c:v>100.64225469717221</c:v>
                </c:pt>
                <c:pt idx="8">
                  <c:v>101.22365077914981</c:v>
                </c:pt>
                <c:pt idx="9">
                  <c:v>100.17382334442856</c:v>
                </c:pt>
                <c:pt idx="10">
                  <c:v>102.17972272627401</c:v>
                </c:pt>
                <c:pt idx="11">
                  <c:v>101.58553347346286</c:v>
                </c:pt>
                <c:pt idx="12">
                  <c:v>101.20566398318296</c:v>
                </c:pt>
                <c:pt idx="13">
                  <c:v>98.883621017219056</c:v>
                </c:pt>
                <c:pt idx="14">
                  <c:v>98.634327361753179</c:v>
                </c:pt>
                <c:pt idx="15">
                  <c:v>97.379076474782195</c:v>
                </c:pt>
                <c:pt idx="16">
                  <c:v>95.884991007498485</c:v>
                </c:pt>
                <c:pt idx="17">
                  <c:v>94.336719644855407</c:v>
                </c:pt>
                <c:pt idx="18">
                  <c:v>95.307105799334238</c:v>
                </c:pt>
                <c:pt idx="19">
                  <c:v>96.971465362146134</c:v>
                </c:pt>
                <c:pt idx="20">
                  <c:v>98.775781936156491</c:v>
                </c:pt>
                <c:pt idx="21">
                  <c:v>99.099363446943741</c:v>
                </c:pt>
                <c:pt idx="22">
                  <c:v>97.294367692107045</c:v>
                </c:pt>
                <c:pt idx="23">
                  <c:v>98.775137061121058</c:v>
                </c:pt>
                <c:pt idx="24">
                  <c:v>98.488117970822984</c:v>
                </c:pt>
                <c:pt idx="25">
                  <c:v>99.901279087650494</c:v>
                </c:pt>
                <c:pt idx="26">
                  <c:v>99.663399538866358</c:v>
                </c:pt>
                <c:pt idx="27">
                  <c:v>100.56870317996705</c:v>
                </c:pt>
                <c:pt idx="28">
                  <c:v>100.657640821887</c:v>
                </c:pt>
                <c:pt idx="29">
                  <c:v>100.64445290234907</c:v>
                </c:pt>
                <c:pt idx="30">
                  <c:v>100.38383553945827</c:v>
                </c:pt>
                <c:pt idx="31">
                  <c:v>99.763939538312442</c:v>
                </c:pt>
                <c:pt idx="32">
                  <c:v>101.96345456849484</c:v>
                </c:pt>
                <c:pt idx="33">
                  <c:v>101.15388365374336</c:v>
                </c:pt>
                <c:pt idx="34">
                  <c:v>103.72422376993472</c:v>
                </c:pt>
                <c:pt idx="35">
                  <c:v>103.17099545641655</c:v>
                </c:pt>
                <c:pt idx="36">
                  <c:v>101.4597483125735</c:v>
                </c:pt>
                <c:pt idx="37">
                  <c:v>101.5468648581701</c:v>
                </c:pt>
                <c:pt idx="38">
                  <c:v>101.40743887345027</c:v>
                </c:pt>
                <c:pt idx="39">
                  <c:v>101.19032541606695</c:v>
                </c:pt>
                <c:pt idx="40">
                  <c:v>102.00430221224737</c:v>
                </c:pt>
                <c:pt idx="41">
                  <c:v>100.47421183379056</c:v>
                </c:pt>
                <c:pt idx="42">
                  <c:v>98.016566263542146</c:v>
                </c:pt>
                <c:pt idx="43">
                  <c:v>96.760573875521189</c:v>
                </c:pt>
                <c:pt idx="44">
                  <c:v>97.290985353214438</c:v>
                </c:pt>
                <c:pt idx="45">
                  <c:v>97.160211441062998</c:v>
                </c:pt>
                <c:pt idx="46">
                  <c:v>98.408665871031033</c:v>
                </c:pt>
                <c:pt idx="47">
                  <c:v>99.393234497570674</c:v>
                </c:pt>
                <c:pt idx="48">
                  <c:v>101.37485455593188</c:v>
                </c:pt>
                <c:pt idx="49">
                  <c:v>102.06498857793137</c:v>
                </c:pt>
                <c:pt idx="50">
                  <c:v>102.05365948150656</c:v>
                </c:pt>
                <c:pt idx="51">
                  <c:v>100.59329054189368</c:v>
                </c:pt>
                <c:pt idx="52">
                  <c:v>102.89896438425257</c:v>
                </c:pt>
                <c:pt idx="53">
                  <c:v>104.6691523821279</c:v>
                </c:pt>
                <c:pt idx="54">
                  <c:v>102.69155758110415</c:v>
                </c:pt>
                <c:pt idx="55">
                  <c:v>102.04348436004345</c:v>
                </c:pt>
                <c:pt idx="56">
                  <c:v>100.14470704544644</c:v>
                </c:pt>
                <c:pt idx="57">
                  <c:v>98.083486640845848</c:v>
                </c:pt>
                <c:pt idx="58">
                  <c:v>97.397898974639688</c:v>
                </c:pt>
                <c:pt idx="59">
                  <c:v>96.863583792305249</c:v>
                </c:pt>
                <c:pt idx="60">
                  <c:v>97.853341138366304</c:v>
                </c:pt>
                <c:pt idx="61">
                  <c:v>97.733566761245882</c:v>
                </c:pt>
                <c:pt idx="62">
                  <c:v>96.912215146386856</c:v>
                </c:pt>
                <c:pt idx="63">
                  <c:v>97.89515598269108</c:v>
                </c:pt>
                <c:pt idx="64">
                  <c:v>98.198346168290442</c:v>
                </c:pt>
                <c:pt idx="65">
                  <c:v>97.205043209100367</c:v>
                </c:pt>
                <c:pt idx="66">
                  <c:v>94.939951187499446</c:v>
                </c:pt>
                <c:pt idx="67">
                  <c:v>93.735989243899098</c:v>
                </c:pt>
                <c:pt idx="68">
                  <c:v>93.327583889339749</c:v>
                </c:pt>
                <c:pt idx="69">
                  <c:v>93.442927443992303</c:v>
                </c:pt>
                <c:pt idx="70">
                  <c:v>92.772398405202267</c:v>
                </c:pt>
                <c:pt idx="71">
                  <c:v>91.046469779860018</c:v>
                </c:pt>
                <c:pt idx="72">
                  <c:v>89.493449036274271</c:v>
                </c:pt>
                <c:pt idx="73">
                  <c:v>88.333324369534381</c:v>
                </c:pt>
                <c:pt idx="74">
                  <c:v>87.484029383339603</c:v>
                </c:pt>
                <c:pt idx="75">
                  <c:v>86.636118829324971</c:v>
                </c:pt>
                <c:pt idx="76">
                  <c:v>87.007676413115831</c:v>
                </c:pt>
                <c:pt idx="77">
                  <c:v>88.001836721310298</c:v>
                </c:pt>
                <c:pt idx="78">
                  <c:v>88.628999362082325</c:v>
                </c:pt>
                <c:pt idx="79">
                  <c:v>88.072294492627691</c:v>
                </c:pt>
                <c:pt idx="80">
                  <c:v>88.248010688626991</c:v>
                </c:pt>
                <c:pt idx="81">
                  <c:v>87.469117057341478</c:v>
                </c:pt>
                <c:pt idx="82">
                  <c:v>87.875799628869714</c:v>
                </c:pt>
                <c:pt idx="83">
                  <c:v>87.474894005280603</c:v>
                </c:pt>
                <c:pt idx="84">
                  <c:v>89.090568995967388</c:v>
                </c:pt>
                <c:pt idx="85">
                  <c:v>87.30268515274031</c:v>
                </c:pt>
                <c:pt idx="86">
                  <c:v>88.87608608124755</c:v>
                </c:pt>
                <c:pt idx="87">
                  <c:v>86.219122760113621</c:v>
                </c:pt>
                <c:pt idx="88">
                  <c:v>85.618139502184235</c:v>
                </c:pt>
                <c:pt idx="89">
                  <c:v>85.200202812523827</c:v>
                </c:pt>
                <c:pt idx="90">
                  <c:v>85.494447417334612</c:v>
                </c:pt>
                <c:pt idx="91">
                  <c:v>85.367074528285315</c:v>
                </c:pt>
                <c:pt idx="92">
                  <c:v>87.383134253254909</c:v>
                </c:pt>
                <c:pt idx="93">
                  <c:v>87.096436681195854</c:v>
                </c:pt>
                <c:pt idx="94">
                  <c:v>85.904449677464584</c:v>
                </c:pt>
                <c:pt idx="95">
                  <c:v>86.030885419129362</c:v>
                </c:pt>
                <c:pt idx="96">
                  <c:v>84.404194693529959</c:v>
                </c:pt>
                <c:pt idx="97">
                  <c:v>84.04488578639382</c:v>
                </c:pt>
                <c:pt idx="98">
                  <c:v>81.323751913157565</c:v>
                </c:pt>
                <c:pt idx="99">
                  <c:v>82.170729989113624</c:v>
                </c:pt>
                <c:pt idx="100">
                  <c:v>81.380015392982571</c:v>
                </c:pt>
                <c:pt idx="101">
                  <c:v>82.398587772759655</c:v>
                </c:pt>
                <c:pt idx="102">
                  <c:v>82.896320419138377</c:v>
                </c:pt>
                <c:pt idx="103">
                  <c:v>82.566626981267675</c:v>
                </c:pt>
                <c:pt idx="104">
                  <c:v>81.683253051626977</c:v>
                </c:pt>
                <c:pt idx="105">
                  <c:v>83.013295409050173</c:v>
                </c:pt>
                <c:pt idx="106">
                  <c:v>84.225425465757695</c:v>
                </c:pt>
                <c:pt idx="107">
                  <c:v>83.986144357021061</c:v>
                </c:pt>
                <c:pt idx="108">
                  <c:v>83.447238361055071</c:v>
                </c:pt>
                <c:pt idx="109">
                  <c:v>83.702070307300488</c:v>
                </c:pt>
                <c:pt idx="110">
                  <c:v>84.261399559889639</c:v>
                </c:pt>
                <c:pt idx="111">
                  <c:v>84.288310247116925</c:v>
                </c:pt>
                <c:pt idx="112">
                  <c:v>84.553702755296143</c:v>
                </c:pt>
                <c:pt idx="113">
                  <c:v>83.170016309913436</c:v>
                </c:pt>
                <c:pt idx="114">
                  <c:v>83.881562133221379</c:v>
                </c:pt>
                <c:pt idx="115">
                  <c:v>83.375527781329367</c:v>
                </c:pt>
                <c:pt idx="116">
                  <c:v>84.174066611772417</c:v>
                </c:pt>
                <c:pt idx="117">
                  <c:v>84.264755270158361</c:v>
                </c:pt>
                <c:pt idx="118">
                  <c:v>84.303605334768847</c:v>
                </c:pt>
                <c:pt idx="119">
                  <c:v>83.016333577496312</c:v>
                </c:pt>
                <c:pt idx="120">
                  <c:v>83.579264750595641</c:v>
                </c:pt>
                <c:pt idx="121">
                  <c:v>83.907522044353797</c:v>
                </c:pt>
                <c:pt idx="122">
                  <c:v>83.929372094374074</c:v>
                </c:pt>
                <c:pt idx="123">
                  <c:v>85.165304926630327</c:v>
                </c:pt>
                <c:pt idx="124">
                  <c:v>84.00479969531338</c:v>
                </c:pt>
                <c:pt idx="125">
                  <c:v>85.006084952597632</c:v>
                </c:pt>
                <c:pt idx="126">
                  <c:v>84.398099949829756</c:v>
                </c:pt>
                <c:pt idx="127">
                  <c:v>85.091537482543927</c:v>
                </c:pt>
                <c:pt idx="128">
                  <c:v>85.419251705761113</c:v>
                </c:pt>
                <c:pt idx="129">
                  <c:v>87.163903000483629</c:v>
                </c:pt>
                <c:pt idx="130">
                  <c:v>88.105857909110426</c:v>
                </c:pt>
                <c:pt idx="131">
                  <c:v>88.01391152920101</c:v>
                </c:pt>
                <c:pt idx="132">
                  <c:v>87.116267970112105</c:v>
                </c:pt>
                <c:pt idx="133">
                  <c:v>85.099646821773064</c:v>
                </c:pt>
                <c:pt idx="134">
                  <c:v>86.931600357294286</c:v>
                </c:pt>
                <c:pt idx="135">
                  <c:v>86.956548516981201</c:v>
                </c:pt>
                <c:pt idx="136">
                  <c:v>88.659990464947569</c:v>
                </c:pt>
                <c:pt idx="137">
                  <c:v>89.558645135525936</c:v>
                </c:pt>
                <c:pt idx="138">
                  <c:v>89.074177435177404</c:v>
                </c:pt>
                <c:pt idx="139">
                  <c:v>92.219599770658803</c:v>
                </c:pt>
                <c:pt idx="140">
                  <c:v>91.443747574844551</c:v>
                </c:pt>
                <c:pt idx="141">
                  <c:v>94.424365741493489</c:v>
                </c:pt>
                <c:pt idx="142">
                  <c:v>93.515440573721804</c:v>
                </c:pt>
                <c:pt idx="143">
                  <c:v>92.071309735165286</c:v>
                </c:pt>
                <c:pt idx="144">
                  <c:v>93.702574917715637</c:v>
                </c:pt>
                <c:pt idx="145">
                  <c:v>93.226902941883054</c:v>
                </c:pt>
                <c:pt idx="146">
                  <c:v>93.633289251389428</c:v>
                </c:pt>
                <c:pt idx="147">
                  <c:v>93.961357005485993</c:v>
                </c:pt>
                <c:pt idx="148">
                  <c:v>95.455517829823037</c:v>
                </c:pt>
                <c:pt idx="149">
                  <c:v>95.613137305094241</c:v>
                </c:pt>
                <c:pt idx="150">
                  <c:v>95.554759852412715</c:v>
                </c:pt>
                <c:pt idx="151">
                  <c:v>97.520133936947914</c:v>
                </c:pt>
                <c:pt idx="152">
                  <c:v>96.49043051390899</c:v>
                </c:pt>
                <c:pt idx="153">
                  <c:v>97.079889276359879</c:v>
                </c:pt>
                <c:pt idx="154">
                  <c:v>98.425992361093122</c:v>
                </c:pt>
                <c:pt idx="155">
                  <c:v>97.737689859514063</c:v>
                </c:pt>
                <c:pt idx="156">
                  <c:v>95.385329581319155</c:v>
                </c:pt>
                <c:pt idx="157">
                  <c:v>95.335993792754252</c:v>
                </c:pt>
                <c:pt idx="158">
                  <c:v>95.766764505607284</c:v>
                </c:pt>
                <c:pt idx="159">
                  <c:v>94.518422814359724</c:v>
                </c:pt>
                <c:pt idx="160">
                  <c:v>95.6485352036308</c:v>
                </c:pt>
                <c:pt idx="161">
                  <c:v>94.525662665356521</c:v>
                </c:pt>
                <c:pt idx="162">
                  <c:v>94.701342280564489</c:v>
                </c:pt>
                <c:pt idx="163">
                  <c:v>96.535265584701577</c:v>
                </c:pt>
                <c:pt idx="164">
                  <c:v>97.764106094121246</c:v>
                </c:pt>
                <c:pt idx="165">
                  <c:v>98.540244810477219</c:v>
                </c:pt>
                <c:pt idx="166">
                  <c:v>98.299023624440252</c:v>
                </c:pt>
                <c:pt idx="167">
                  <c:v>95.74251403547909</c:v>
                </c:pt>
                <c:pt idx="168">
                  <c:v>97.211360836143641</c:v>
                </c:pt>
                <c:pt idx="169">
                  <c:v>97.401785739495224</c:v>
                </c:pt>
                <c:pt idx="170">
                  <c:v>96.019610909756125</c:v>
                </c:pt>
                <c:pt idx="171">
                  <c:v>95.610167732643532</c:v>
                </c:pt>
                <c:pt idx="172">
                  <c:v>96.396967308979981</c:v>
                </c:pt>
                <c:pt idx="173">
                  <c:v>96.841201334340795</c:v>
                </c:pt>
                <c:pt idx="174">
                  <c:v>96.858027215294442</c:v>
                </c:pt>
                <c:pt idx="175">
                  <c:v>96.321100706716578</c:v>
                </c:pt>
                <c:pt idx="176">
                  <c:v>95.377604512672903</c:v>
                </c:pt>
                <c:pt idx="177">
                  <c:v>93.7504099752841</c:v>
                </c:pt>
                <c:pt idx="178">
                  <c:v>95.189372525384059</c:v>
                </c:pt>
                <c:pt idx="179">
                  <c:v>95.558242472855881</c:v>
                </c:pt>
                <c:pt idx="180">
                  <c:v>97.198147368787431</c:v>
                </c:pt>
                <c:pt idx="181">
                  <c:v>98.150874550343687</c:v>
                </c:pt>
                <c:pt idx="182">
                  <c:v>97.389229605086129</c:v>
                </c:pt>
                <c:pt idx="183">
                  <c:v>97.222115066464468</c:v>
                </c:pt>
                <c:pt idx="184">
                  <c:v>95.916992978969361</c:v>
                </c:pt>
                <c:pt idx="185">
                  <c:v>94.130836533747313</c:v>
                </c:pt>
                <c:pt idx="186">
                  <c:v>91.92720059147068</c:v>
                </c:pt>
                <c:pt idx="187">
                  <c:v>90.555318360174752</c:v>
                </c:pt>
                <c:pt idx="188">
                  <c:v>90.659531040174286</c:v>
                </c:pt>
                <c:pt idx="189">
                  <c:v>90.870283650521955</c:v>
                </c:pt>
                <c:pt idx="190">
                  <c:v>92.093040443155957</c:v>
                </c:pt>
                <c:pt idx="191">
                  <c:v>90.882982817408106</c:v>
                </c:pt>
                <c:pt idx="192">
                  <c:v>90.787468941307097</c:v>
                </c:pt>
                <c:pt idx="193">
                  <c:v>91.335443677137988</c:v>
                </c:pt>
                <c:pt idx="194">
                  <c:v>91.833166624944752</c:v>
                </c:pt>
                <c:pt idx="195">
                  <c:v>92.402719753417486</c:v>
                </c:pt>
                <c:pt idx="196">
                  <c:v>93.092009747594318</c:v>
                </c:pt>
                <c:pt idx="197">
                  <c:v>92.264297074689068</c:v>
                </c:pt>
                <c:pt idx="198">
                  <c:v>93.324375779702407</c:v>
                </c:pt>
                <c:pt idx="199">
                  <c:v>92.385654728368223</c:v>
                </c:pt>
                <c:pt idx="200">
                  <c:v>93.712812422712489</c:v>
                </c:pt>
                <c:pt idx="201">
                  <c:v>92.374020021125062</c:v>
                </c:pt>
                <c:pt idx="202">
                  <c:v>92.683567973863774</c:v>
                </c:pt>
                <c:pt idx="203">
                  <c:v>91.652695170029219</c:v>
                </c:pt>
                <c:pt idx="204">
                  <c:v>89.98910129959441</c:v>
                </c:pt>
                <c:pt idx="205">
                  <c:v>90.171150068257319</c:v>
                </c:pt>
                <c:pt idx="206">
                  <c:v>91.248367893686947</c:v>
                </c:pt>
                <c:pt idx="207">
                  <c:v>90.834671119249947</c:v>
                </c:pt>
                <c:pt idx="208">
                  <c:v>89.648610506222028</c:v>
                </c:pt>
                <c:pt idx="209">
                  <c:v>91.49775461839846</c:v>
                </c:pt>
                <c:pt idx="210">
                  <c:v>90.738227516390083</c:v>
                </c:pt>
                <c:pt idx="211">
                  <c:v>91.096896424248371</c:v>
                </c:pt>
                <c:pt idx="212">
                  <c:v>90.735899853148439</c:v>
                </c:pt>
                <c:pt idx="213">
                  <c:v>90.661586882489004</c:v>
                </c:pt>
                <c:pt idx="214">
                  <c:v>93.070979789861795</c:v>
                </c:pt>
                <c:pt idx="215">
                  <c:v>92.970664870103292</c:v>
                </c:pt>
                <c:pt idx="216">
                  <c:v>94.1799941531862</c:v>
                </c:pt>
                <c:pt idx="217">
                  <c:v>94.208305137438302</c:v>
                </c:pt>
                <c:pt idx="218">
                  <c:v>96.025667564094221</c:v>
                </c:pt>
                <c:pt idx="219">
                  <c:v>94.128997917989366</c:v>
                </c:pt>
                <c:pt idx="220">
                  <c:v>93.629336153949211</c:v>
                </c:pt>
                <c:pt idx="221">
                  <c:v>93.072605465822178</c:v>
                </c:pt>
                <c:pt idx="222">
                  <c:v>93.592426682019379</c:v>
                </c:pt>
                <c:pt idx="223">
                  <c:v>93.11991280392364</c:v>
                </c:pt>
                <c:pt idx="224">
                  <c:v>94.132605002059009</c:v>
                </c:pt>
                <c:pt idx="225">
                  <c:v>94.423339752728708</c:v>
                </c:pt>
                <c:pt idx="226">
                  <c:v>95.012624579010208</c:v>
                </c:pt>
                <c:pt idx="227">
                  <c:v>96.917399456327885</c:v>
                </c:pt>
                <c:pt idx="228">
                  <c:v>96.793653348459841</c:v>
                </c:pt>
                <c:pt idx="229">
                  <c:v>97.356117753542875</c:v>
                </c:pt>
                <c:pt idx="230">
                  <c:v>96.455047289931329</c:v>
                </c:pt>
                <c:pt idx="231">
                  <c:v>96.238480890667418</c:v>
                </c:pt>
                <c:pt idx="232">
                  <c:v>96.581045927125189</c:v>
                </c:pt>
                <c:pt idx="233">
                  <c:v>96.551644107634544</c:v>
                </c:pt>
                <c:pt idx="234">
                  <c:v>96.31140619385755</c:v>
                </c:pt>
                <c:pt idx="235">
                  <c:v>94.421744031379347</c:v>
                </c:pt>
                <c:pt idx="236">
                  <c:v>94.043214402491515</c:v>
                </c:pt>
                <c:pt idx="237">
                  <c:v>92.636389542502528</c:v>
                </c:pt>
                <c:pt idx="238">
                  <c:v>90.705253485354859</c:v>
                </c:pt>
                <c:pt idx="239">
                  <c:v>90.61947005103535</c:v>
                </c:pt>
                <c:pt idx="240">
                  <c:v>89.288385422722286</c:v>
                </c:pt>
                <c:pt idx="241">
                  <c:v>90.015560944228994</c:v>
                </c:pt>
                <c:pt idx="242">
                  <c:v>90.04617004590753</c:v>
                </c:pt>
                <c:pt idx="243">
                  <c:v>90.830941596782012</c:v>
                </c:pt>
                <c:pt idx="244">
                  <c:v>90.395472265050287</c:v>
                </c:pt>
                <c:pt idx="245">
                  <c:v>89.169095165152214</c:v>
                </c:pt>
                <c:pt idx="246">
                  <c:v>89.576086554622549</c:v>
                </c:pt>
                <c:pt idx="247">
                  <c:v>91.469698232405577</c:v>
                </c:pt>
                <c:pt idx="248">
                  <c:v>90.669606304724709</c:v>
                </c:pt>
                <c:pt idx="249">
                  <c:v>90.028980566211445</c:v>
                </c:pt>
                <c:pt idx="250">
                  <c:v>91.437445387019594</c:v>
                </c:pt>
                <c:pt idx="251">
                  <c:v>91.891013300926033</c:v>
                </c:pt>
                <c:pt idx="252">
                  <c:v>92.267607947337709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46-424B-B710-4E50FBAF585F}"/>
            </c:ext>
          </c:extLst>
        </c:ser>
        <c:ser>
          <c:idx val="7"/>
          <c:order val="7"/>
          <c:marker>
            <c:symbol val="none"/>
          </c:marker>
          <c:val>
            <c:numRef>
              <c:f>Trajectoires!$K$8:$K$260</c:f>
              <c:numCache>
                <c:formatCode>General</c:formatCode>
                <c:ptCount val="253"/>
                <c:pt idx="0">
                  <c:v>100</c:v>
                </c:pt>
                <c:pt idx="1">
                  <c:v>98.091537244312221</c:v>
                </c:pt>
                <c:pt idx="2">
                  <c:v>96.08969166612934</c:v>
                </c:pt>
                <c:pt idx="3">
                  <c:v>95.346686005166092</c:v>
                </c:pt>
                <c:pt idx="4">
                  <c:v>94.615189521756534</c:v>
                </c:pt>
                <c:pt idx="5">
                  <c:v>92.741448574869054</c:v>
                </c:pt>
                <c:pt idx="6">
                  <c:v>90.891476822203984</c:v>
                </c:pt>
                <c:pt idx="7">
                  <c:v>91.091179099286094</c:v>
                </c:pt>
                <c:pt idx="8">
                  <c:v>90.84913405164086</c:v>
                </c:pt>
                <c:pt idx="9">
                  <c:v>91.183170241440706</c:v>
                </c:pt>
                <c:pt idx="10">
                  <c:v>91.412528966506798</c:v>
                </c:pt>
                <c:pt idx="11">
                  <c:v>89.709379738531339</c:v>
                </c:pt>
                <c:pt idx="12">
                  <c:v>90.576407696515744</c:v>
                </c:pt>
                <c:pt idx="13">
                  <c:v>90.992184960174214</c:v>
                </c:pt>
                <c:pt idx="14">
                  <c:v>91.03985010998403</c:v>
                </c:pt>
                <c:pt idx="15">
                  <c:v>89.505791248866245</c:v>
                </c:pt>
                <c:pt idx="16">
                  <c:v>90.174155313736421</c:v>
                </c:pt>
                <c:pt idx="17">
                  <c:v>89.406657345070883</c:v>
                </c:pt>
                <c:pt idx="18">
                  <c:v>88.751912412669284</c:v>
                </c:pt>
                <c:pt idx="19">
                  <c:v>88.698314491346551</c:v>
                </c:pt>
                <c:pt idx="20">
                  <c:v>87.839203283895102</c:v>
                </c:pt>
                <c:pt idx="21">
                  <c:v>87.686656423603068</c:v>
                </c:pt>
                <c:pt idx="22">
                  <c:v>88.446040524516505</c:v>
                </c:pt>
                <c:pt idx="23">
                  <c:v>88.743865821860055</c:v>
                </c:pt>
                <c:pt idx="24">
                  <c:v>88.068048298213114</c:v>
                </c:pt>
                <c:pt idx="25">
                  <c:v>86.81402394866177</c:v>
                </c:pt>
                <c:pt idx="26">
                  <c:v>87.325637805308091</c:v>
                </c:pt>
                <c:pt idx="27">
                  <c:v>86.191533379055997</c:v>
                </c:pt>
                <c:pt idx="28">
                  <c:v>86.803007835830414</c:v>
                </c:pt>
                <c:pt idx="29">
                  <c:v>87.652177332974901</c:v>
                </c:pt>
                <c:pt idx="30">
                  <c:v>86.809525150913558</c:v>
                </c:pt>
                <c:pt idx="31">
                  <c:v>89.196269763972822</c:v>
                </c:pt>
                <c:pt idx="32">
                  <c:v>88.462373100001741</c:v>
                </c:pt>
                <c:pt idx="33">
                  <c:v>87.650546684767193</c:v>
                </c:pt>
                <c:pt idx="34">
                  <c:v>87.762811466189092</c:v>
                </c:pt>
                <c:pt idx="35">
                  <c:v>89.328515299026009</c:v>
                </c:pt>
                <c:pt idx="36">
                  <c:v>90.282404747704334</c:v>
                </c:pt>
                <c:pt idx="37">
                  <c:v>90.949024365209453</c:v>
                </c:pt>
                <c:pt idx="38">
                  <c:v>92.19294686315007</c:v>
                </c:pt>
                <c:pt idx="39">
                  <c:v>91.233095066424042</c:v>
                </c:pt>
                <c:pt idx="40">
                  <c:v>92.944734125739714</c:v>
                </c:pt>
                <c:pt idx="41">
                  <c:v>94.306441292745063</c:v>
                </c:pt>
                <c:pt idx="42">
                  <c:v>93.1346493484522</c:v>
                </c:pt>
                <c:pt idx="43">
                  <c:v>92.28719805495183</c:v>
                </c:pt>
                <c:pt idx="44">
                  <c:v>93.59191876415936</c:v>
                </c:pt>
                <c:pt idx="45">
                  <c:v>94.622539852997889</c:v>
                </c:pt>
                <c:pt idx="46">
                  <c:v>92.608455429576182</c:v>
                </c:pt>
                <c:pt idx="47">
                  <c:v>91.5378354094927</c:v>
                </c:pt>
                <c:pt idx="48">
                  <c:v>91.166241425670961</c:v>
                </c:pt>
                <c:pt idx="49">
                  <c:v>89.562677115044934</c:v>
                </c:pt>
                <c:pt idx="50">
                  <c:v>89.409086242312355</c:v>
                </c:pt>
                <c:pt idx="51">
                  <c:v>89.027821072571498</c:v>
                </c:pt>
                <c:pt idx="52">
                  <c:v>88.773644426303576</c:v>
                </c:pt>
                <c:pt idx="53">
                  <c:v>89.374924849650256</c:v>
                </c:pt>
                <c:pt idx="54">
                  <c:v>88.558423976327873</c:v>
                </c:pt>
                <c:pt idx="55">
                  <c:v>90.240256587707577</c:v>
                </c:pt>
                <c:pt idx="56">
                  <c:v>90.723746468181929</c:v>
                </c:pt>
                <c:pt idx="57">
                  <c:v>91.094249105115651</c:v>
                </c:pt>
                <c:pt idx="58">
                  <c:v>90.763058858673404</c:v>
                </c:pt>
                <c:pt idx="59">
                  <c:v>92.388391957462773</c:v>
                </c:pt>
                <c:pt idx="60">
                  <c:v>93.202075642986443</c:v>
                </c:pt>
                <c:pt idx="61">
                  <c:v>92.851967603687825</c:v>
                </c:pt>
                <c:pt idx="62">
                  <c:v>93.714710589952716</c:v>
                </c:pt>
                <c:pt idx="63">
                  <c:v>93.59715065774445</c:v>
                </c:pt>
                <c:pt idx="64">
                  <c:v>91.511195152337038</c:v>
                </c:pt>
                <c:pt idx="65">
                  <c:v>91.116902014984632</c:v>
                </c:pt>
                <c:pt idx="66">
                  <c:v>90.486447084187489</c:v>
                </c:pt>
                <c:pt idx="67">
                  <c:v>91.060583207657587</c:v>
                </c:pt>
                <c:pt idx="68">
                  <c:v>90.696706009398909</c:v>
                </c:pt>
                <c:pt idx="69">
                  <c:v>90.412810351817072</c:v>
                </c:pt>
                <c:pt idx="70">
                  <c:v>90.453298805912169</c:v>
                </c:pt>
                <c:pt idx="71">
                  <c:v>90.25172300488579</c:v>
                </c:pt>
                <c:pt idx="72">
                  <c:v>89.944632455196938</c:v>
                </c:pt>
                <c:pt idx="73">
                  <c:v>89.312153276463164</c:v>
                </c:pt>
                <c:pt idx="74">
                  <c:v>89.875642782144638</c:v>
                </c:pt>
                <c:pt idx="75">
                  <c:v>89.497315119092988</c:v>
                </c:pt>
                <c:pt idx="76">
                  <c:v>92.150882372278716</c:v>
                </c:pt>
                <c:pt idx="77">
                  <c:v>93.405205897120325</c:v>
                </c:pt>
                <c:pt idx="78">
                  <c:v>93.689853332234151</c:v>
                </c:pt>
                <c:pt idx="79">
                  <c:v>94.649746383566011</c:v>
                </c:pt>
                <c:pt idx="80">
                  <c:v>94.992217872339012</c:v>
                </c:pt>
                <c:pt idx="81">
                  <c:v>94.665216243211006</c:v>
                </c:pt>
                <c:pt idx="82">
                  <c:v>94.227505298702695</c:v>
                </c:pt>
                <c:pt idx="83">
                  <c:v>92.905407528509272</c:v>
                </c:pt>
                <c:pt idx="84">
                  <c:v>92.717720844608394</c:v>
                </c:pt>
                <c:pt idx="85">
                  <c:v>95.456026036287128</c:v>
                </c:pt>
                <c:pt idx="86">
                  <c:v>96.304728776360008</c:v>
                </c:pt>
                <c:pt idx="87">
                  <c:v>98.606142140597527</c:v>
                </c:pt>
                <c:pt idx="88">
                  <c:v>99.007340250768024</c:v>
                </c:pt>
                <c:pt idx="89">
                  <c:v>98.592750816891837</c:v>
                </c:pt>
                <c:pt idx="90">
                  <c:v>99.594706277837432</c:v>
                </c:pt>
                <c:pt idx="91">
                  <c:v>98.714075748225724</c:v>
                </c:pt>
                <c:pt idx="92">
                  <c:v>96.891103629363741</c:v>
                </c:pt>
                <c:pt idx="93">
                  <c:v>93.263648455175897</c:v>
                </c:pt>
                <c:pt idx="94">
                  <c:v>93.134785403500445</c:v>
                </c:pt>
                <c:pt idx="95">
                  <c:v>92.871326949001059</c:v>
                </c:pt>
                <c:pt idx="96">
                  <c:v>93.296398791441504</c:v>
                </c:pt>
                <c:pt idx="97">
                  <c:v>95.69848621325464</c:v>
                </c:pt>
                <c:pt idx="98">
                  <c:v>96.256107255104723</c:v>
                </c:pt>
                <c:pt idx="99">
                  <c:v>96.471084030256264</c:v>
                </c:pt>
                <c:pt idx="100">
                  <c:v>97.503450895686171</c:v>
                </c:pt>
                <c:pt idx="101">
                  <c:v>99.118891894977878</c:v>
                </c:pt>
                <c:pt idx="102">
                  <c:v>96.240976126333734</c:v>
                </c:pt>
                <c:pt idx="103">
                  <c:v>98.650375767839122</c:v>
                </c:pt>
                <c:pt idx="104">
                  <c:v>97.703413954592392</c:v>
                </c:pt>
                <c:pt idx="105">
                  <c:v>100.03286463228618</c:v>
                </c:pt>
                <c:pt idx="106">
                  <c:v>100.0778170836398</c:v>
                </c:pt>
                <c:pt idx="107">
                  <c:v>99.363897996169882</c:v>
                </c:pt>
                <c:pt idx="108">
                  <c:v>99.835955141134846</c:v>
                </c:pt>
                <c:pt idx="109">
                  <c:v>100.18650438994818</c:v>
                </c:pt>
                <c:pt idx="110">
                  <c:v>99.598753242349275</c:v>
                </c:pt>
                <c:pt idx="111">
                  <c:v>99.763390615051762</c:v>
                </c:pt>
                <c:pt idx="112">
                  <c:v>96.873978942396633</c:v>
                </c:pt>
                <c:pt idx="113">
                  <c:v>98.631366325223595</c:v>
                </c:pt>
                <c:pt idx="114">
                  <c:v>96.920313281932025</c:v>
                </c:pt>
                <c:pt idx="115">
                  <c:v>98.328276489746372</c:v>
                </c:pt>
                <c:pt idx="116">
                  <c:v>98.055214971019524</c:v>
                </c:pt>
                <c:pt idx="117">
                  <c:v>98.795761280516885</c:v>
                </c:pt>
                <c:pt idx="118">
                  <c:v>96.563065443707629</c:v>
                </c:pt>
                <c:pt idx="119">
                  <c:v>95.412544192285694</c:v>
                </c:pt>
                <c:pt idx="120">
                  <c:v>95.403443604508539</c:v>
                </c:pt>
                <c:pt idx="121">
                  <c:v>96.025730592530664</c:v>
                </c:pt>
                <c:pt idx="122">
                  <c:v>96.463287969803375</c:v>
                </c:pt>
                <c:pt idx="123">
                  <c:v>95.979120071375348</c:v>
                </c:pt>
                <c:pt idx="124">
                  <c:v>96.837319491931538</c:v>
                </c:pt>
                <c:pt idx="125">
                  <c:v>97.283180642036569</c:v>
                </c:pt>
                <c:pt idx="126">
                  <c:v>96.925827673855707</c:v>
                </c:pt>
                <c:pt idx="127">
                  <c:v>97.110990391019797</c:v>
                </c:pt>
                <c:pt idx="128">
                  <c:v>96.388342766755315</c:v>
                </c:pt>
                <c:pt idx="129">
                  <c:v>96.338378267113612</c:v>
                </c:pt>
                <c:pt idx="130">
                  <c:v>97.272121949860946</c:v>
                </c:pt>
                <c:pt idx="131">
                  <c:v>97.252558040705978</c:v>
                </c:pt>
                <c:pt idx="132">
                  <c:v>99.372755104635942</c:v>
                </c:pt>
                <c:pt idx="133">
                  <c:v>99.336017691907557</c:v>
                </c:pt>
                <c:pt idx="134">
                  <c:v>98.737186005069105</c:v>
                </c:pt>
                <c:pt idx="135">
                  <c:v>97.895011828937939</c:v>
                </c:pt>
                <c:pt idx="136">
                  <c:v>99.428773964906441</c:v>
                </c:pt>
                <c:pt idx="137">
                  <c:v>97.89139706021048</c:v>
                </c:pt>
                <c:pt idx="138">
                  <c:v>100.08414478475947</c:v>
                </c:pt>
                <c:pt idx="139">
                  <c:v>100.00457993190818</c:v>
                </c:pt>
                <c:pt idx="140">
                  <c:v>100.27580872316572</c:v>
                </c:pt>
                <c:pt idx="141">
                  <c:v>100.42879936003816</c:v>
                </c:pt>
                <c:pt idx="142">
                  <c:v>102.91561555390925</c:v>
                </c:pt>
                <c:pt idx="143">
                  <c:v>102.36184871259003</c:v>
                </c:pt>
                <c:pt idx="144">
                  <c:v>102.04082931244362</c:v>
                </c:pt>
                <c:pt idx="145">
                  <c:v>101.91033248399216</c:v>
                </c:pt>
                <c:pt idx="146">
                  <c:v>102.4073295118838</c:v>
                </c:pt>
                <c:pt idx="147">
                  <c:v>99.038783332489629</c:v>
                </c:pt>
                <c:pt idx="148">
                  <c:v>97.29641027244368</c:v>
                </c:pt>
                <c:pt idx="149">
                  <c:v>97.390917336298529</c:v>
                </c:pt>
                <c:pt idx="150">
                  <c:v>98.252351394562083</c:v>
                </c:pt>
                <c:pt idx="151">
                  <c:v>97.639239037928618</c:v>
                </c:pt>
                <c:pt idx="152">
                  <c:v>96.377009493698765</c:v>
                </c:pt>
                <c:pt idx="153">
                  <c:v>95.757140715117629</c:v>
                </c:pt>
                <c:pt idx="154">
                  <c:v>95.719513852235323</c:v>
                </c:pt>
                <c:pt idx="155">
                  <c:v>95.366369062172623</c:v>
                </c:pt>
                <c:pt idx="156">
                  <c:v>97.121645526406468</c:v>
                </c:pt>
                <c:pt idx="157">
                  <c:v>97.627909495558939</c:v>
                </c:pt>
                <c:pt idx="158">
                  <c:v>97.893225855358537</c:v>
                </c:pt>
                <c:pt idx="159">
                  <c:v>95.780274871070432</c:v>
                </c:pt>
                <c:pt idx="160">
                  <c:v>98.442158874928964</c:v>
                </c:pt>
                <c:pt idx="161">
                  <c:v>99.387218475986032</c:v>
                </c:pt>
                <c:pt idx="162">
                  <c:v>97.200710472124499</c:v>
                </c:pt>
                <c:pt idx="163">
                  <c:v>96.774422198111637</c:v>
                </c:pt>
                <c:pt idx="164">
                  <c:v>96.167586103555493</c:v>
                </c:pt>
                <c:pt idx="165">
                  <c:v>96.223753917307022</c:v>
                </c:pt>
                <c:pt idx="166">
                  <c:v>94.711027203566928</c:v>
                </c:pt>
                <c:pt idx="167">
                  <c:v>94.881173791465528</c:v>
                </c:pt>
                <c:pt idx="168">
                  <c:v>94.235037488833115</c:v>
                </c:pt>
                <c:pt idx="169">
                  <c:v>94.052305542451364</c:v>
                </c:pt>
                <c:pt idx="170">
                  <c:v>96.013365640795314</c:v>
                </c:pt>
                <c:pt idx="171">
                  <c:v>98.327672451931903</c:v>
                </c:pt>
                <c:pt idx="172">
                  <c:v>98.603575423937983</c:v>
                </c:pt>
                <c:pt idx="173">
                  <c:v>99.492722087786021</c:v>
                </c:pt>
                <c:pt idx="174">
                  <c:v>101.28478810876149</c:v>
                </c:pt>
                <c:pt idx="175">
                  <c:v>101.40698220908786</c:v>
                </c:pt>
                <c:pt idx="176">
                  <c:v>102.11458404633281</c:v>
                </c:pt>
                <c:pt idx="177">
                  <c:v>103.32079169156182</c:v>
                </c:pt>
                <c:pt idx="178">
                  <c:v>104.09198749043094</c:v>
                </c:pt>
                <c:pt idx="179">
                  <c:v>103.52535070941795</c:v>
                </c:pt>
                <c:pt idx="180">
                  <c:v>103.64898994712532</c:v>
                </c:pt>
                <c:pt idx="181">
                  <c:v>103.96425913384347</c:v>
                </c:pt>
                <c:pt idx="182">
                  <c:v>103.75633292601962</c:v>
                </c:pt>
                <c:pt idx="183">
                  <c:v>103.81949414201711</c:v>
                </c:pt>
                <c:pt idx="184">
                  <c:v>105.08363483379337</c:v>
                </c:pt>
                <c:pt idx="185">
                  <c:v>104.98682757234758</c:v>
                </c:pt>
                <c:pt idx="186">
                  <c:v>105.72933817729968</c:v>
                </c:pt>
                <c:pt idx="187">
                  <c:v>105.93676388027848</c:v>
                </c:pt>
                <c:pt idx="188">
                  <c:v>105.12986365855407</c:v>
                </c:pt>
                <c:pt idx="189">
                  <c:v>104.35162307145329</c:v>
                </c:pt>
                <c:pt idx="190">
                  <c:v>104.01505659622656</c:v>
                </c:pt>
                <c:pt idx="191">
                  <c:v>101.25746799766738</c:v>
                </c:pt>
                <c:pt idx="192">
                  <c:v>103.0348298396752</c:v>
                </c:pt>
                <c:pt idx="193">
                  <c:v>101.86586351846314</c:v>
                </c:pt>
                <c:pt idx="194">
                  <c:v>103.67701458711154</c:v>
                </c:pt>
                <c:pt idx="195">
                  <c:v>104.43625977488729</c:v>
                </c:pt>
                <c:pt idx="196">
                  <c:v>103.63503763698679</c:v>
                </c:pt>
                <c:pt idx="197">
                  <c:v>101.96263368783137</c:v>
                </c:pt>
                <c:pt idx="198">
                  <c:v>101.3633233297852</c:v>
                </c:pt>
                <c:pt idx="199">
                  <c:v>101.37852245477072</c:v>
                </c:pt>
                <c:pt idx="200">
                  <c:v>100.91668950136408</c:v>
                </c:pt>
                <c:pt idx="201">
                  <c:v>100.48126578056352</c:v>
                </c:pt>
                <c:pt idx="202">
                  <c:v>101.01506630990063</c:v>
                </c:pt>
                <c:pt idx="203">
                  <c:v>98.922950506258587</c:v>
                </c:pt>
                <c:pt idx="204">
                  <c:v>99.88690171513511</c:v>
                </c:pt>
                <c:pt idx="205">
                  <c:v>101.73867993763319</c:v>
                </c:pt>
                <c:pt idx="206">
                  <c:v>101.50330497425641</c:v>
                </c:pt>
                <c:pt idx="207">
                  <c:v>100.56666869655429</c:v>
                </c:pt>
                <c:pt idx="208">
                  <c:v>101.15092198386633</c:v>
                </c:pt>
                <c:pt idx="209">
                  <c:v>99.813115459280652</c:v>
                </c:pt>
                <c:pt idx="210">
                  <c:v>98.905328958665663</c:v>
                </c:pt>
                <c:pt idx="211">
                  <c:v>98.220957030236917</c:v>
                </c:pt>
                <c:pt idx="212">
                  <c:v>95.05181254743357</c:v>
                </c:pt>
                <c:pt idx="213">
                  <c:v>94.481548525307431</c:v>
                </c:pt>
                <c:pt idx="214">
                  <c:v>93.848834516103608</c:v>
                </c:pt>
                <c:pt idx="215">
                  <c:v>95.497148356829854</c:v>
                </c:pt>
                <c:pt idx="216">
                  <c:v>95.371433945620311</c:v>
                </c:pt>
                <c:pt idx="217">
                  <c:v>96.656548855543321</c:v>
                </c:pt>
                <c:pt idx="218">
                  <c:v>96.113797755585651</c:v>
                </c:pt>
                <c:pt idx="219">
                  <c:v>98.451990838714323</c:v>
                </c:pt>
                <c:pt idx="220">
                  <c:v>99.683729231511975</c:v>
                </c:pt>
                <c:pt idx="221">
                  <c:v>100.09725477168782</c:v>
                </c:pt>
                <c:pt idx="222">
                  <c:v>99.481807778909669</c:v>
                </c:pt>
                <c:pt idx="223">
                  <c:v>99.195645608621945</c:v>
                </c:pt>
                <c:pt idx="224">
                  <c:v>101.1415868630977</c:v>
                </c:pt>
                <c:pt idx="225">
                  <c:v>100.97237523131216</c:v>
                </c:pt>
                <c:pt idx="226">
                  <c:v>100.31323914954091</c:v>
                </c:pt>
                <c:pt idx="227">
                  <c:v>99.203238146186408</c:v>
                </c:pt>
                <c:pt idx="228">
                  <c:v>97.995576747919984</c:v>
                </c:pt>
                <c:pt idx="229">
                  <c:v>96.425452869212805</c:v>
                </c:pt>
                <c:pt idx="230">
                  <c:v>93.409364639172722</c:v>
                </c:pt>
                <c:pt idx="231">
                  <c:v>94.040857463139176</c:v>
                </c:pt>
                <c:pt idx="232">
                  <c:v>91.334659193807767</c:v>
                </c:pt>
                <c:pt idx="233">
                  <c:v>90.690928571469698</c:v>
                </c:pt>
                <c:pt idx="234">
                  <c:v>89.785497449756036</c:v>
                </c:pt>
                <c:pt idx="235">
                  <c:v>89.861295899216898</c:v>
                </c:pt>
                <c:pt idx="236">
                  <c:v>91.078198006633002</c:v>
                </c:pt>
                <c:pt idx="237">
                  <c:v>91.642540167497117</c:v>
                </c:pt>
                <c:pt idx="238">
                  <c:v>91.108183288287734</c:v>
                </c:pt>
                <c:pt idx="239">
                  <c:v>89.685627978159943</c:v>
                </c:pt>
                <c:pt idx="240">
                  <c:v>89.653179258440332</c:v>
                </c:pt>
                <c:pt idx="241">
                  <c:v>92.007754278288417</c:v>
                </c:pt>
                <c:pt idx="242">
                  <c:v>92.623153182126387</c:v>
                </c:pt>
                <c:pt idx="243">
                  <c:v>93.767002439224726</c:v>
                </c:pt>
                <c:pt idx="244">
                  <c:v>93.955578500324364</c:v>
                </c:pt>
                <c:pt idx="245">
                  <c:v>94.764066499597405</c:v>
                </c:pt>
                <c:pt idx="246">
                  <c:v>97.81803615055594</c:v>
                </c:pt>
                <c:pt idx="247">
                  <c:v>98.99043768848108</c:v>
                </c:pt>
                <c:pt idx="248">
                  <c:v>99.548527210280014</c:v>
                </c:pt>
                <c:pt idx="249">
                  <c:v>99.312640730225027</c:v>
                </c:pt>
                <c:pt idx="250">
                  <c:v>98.724857923370848</c:v>
                </c:pt>
                <c:pt idx="251">
                  <c:v>99.278687448808867</c:v>
                </c:pt>
                <c:pt idx="252">
                  <c:v>99.575612368374053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46-424B-B710-4E50FBAF585F}"/>
            </c:ext>
          </c:extLst>
        </c:ser>
        <c:ser>
          <c:idx val="8"/>
          <c:order val="8"/>
          <c:marker>
            <c:symbol val="none"/>
          </c:marker>
          <c:val>
            <c:numRef>
              <c:f>Trajectoires!$L$8:$L$260</c:f>
              <c:numCache>
                <c:formatCode>General</c:formatCode>
                <c:ptCount val="253"/>
                <c:pt idx="0">
                  <c:v>100</c:v>
                </c:pt>
                <c:pt idx="1">
                  <c:v>101.49384540168785</c:v>
                </c:pt>
                <c:pt idx="2">
                  <c:v>103.40385894035951</c:v>
                </c:pt>
                <c:pt idx="3">
                  <c:v>103.03897441536705</c:v>
                </c:pt>
                <c:pt idx="4">
                  <c:v>101.69914350507769</c:v>
                </c:pt>
                <c:pt idx="5">
                  <c:v>102.82037707565226</c:v>
                </c:pt>
                <c:pt idx="6">
                  <c:v>101.04302518616511</c:v>
                </c:pt>
                <c:pt idx="7">
                  <c:v>101.53612155959281</c:v>
                </c:pt>
                <c:pt idx="8">
                  <c:v>102.30906192002362</c:v>
                </c:pt>
                <c:pt idx="9">
                  <c:v>102.10198928710081</c:v>
                </c:pt>
                <c:pt idx="10">
                  <c:v>100.6500644545437</c:v>
                </c:pt>
                <c:pt idx="11">
                  <c:v>100.58682735718543</c:v>
                </c:pt>
                <c:pt idx="12">
                  <c:v>100.65140429366072</c:v>
                </c:pt>
                <c:pt idx="13">
                  <c:v>103.53661786276861</c:v>
                </c:pt>
                <c:pt idx="14">
                  <c:v>103.03433443246041</c:v>
                </c:pt>
                <c:pt idx="15">
                  <c:v>104.19490111677075</c:v>
                </c:pt>
                <c:pt idx="16">
                  <c:v>104.86187764480908</c:v>
                </c:pt>
                <c:pt idx="17">
                  <c:v>105.2181006377423</c:v>
                </c:pt>
                <c:pt idx="18">
                  <c:v>104.69333080353023</c:v>
                </c:pt>
                <c:pt idx="19">
                  <c:v>103.8989225651893</c:v>
                </c:pt>
                <c:pt idx="20">
                  <c:v>105.51028598255218</c:v>
                </c:pt>
                <c:pt idx="21">
                  <c:v>105.12599870757246</c:v>
                </c:pt>
                <c:pt idx="22">
                  <c:v>107.158706420922</c:v>
                </c:pt>
                <c:pt idx="23">
                  <c:v>105.68111285805567</c:v>
                </c:pt>
                <c:pt idx="24">
                  <c:v>105.90132375314349</c:v>
                </c:pt>
                <c:pt idx="25">
                  <c:v>105.04655731016121</c:v>
                </c:pt>
                <c:pt idx="26">
                  <c:v>104.47648461729889</c:v>
                </c:pt>
                <c:pt idx="27">
                  <c:v>102.80833569481123</c:v>
                </c:pt>
                <c:pt idx="28">
                  <c:v>103.2470866325678</c:v>
                </c:pt>
                <c:pt idx="29">
                  <c:v>103.13843680957261</c:v>
                </c:pt>
                <c:pt idx="30">
                  <c:v>101.80060173846024</c:v>
                </c:pt>
                <c:pt idx="31">
                  <c:v>103.54657361953591</c:v>
                </c:pt>
                <c:pt idx="32">
                  <c:v>102.67423465850587</c:v>
                </c:pt>
                <c:pt idx="33">
                  <c:v>102.06201101149203</c:v>
                </c:pt>
                <c:pt idx="34">
                  <c:v>104.3722326209663</c:v>
                </c:pt>
                <c:pt idx="35">
                  <c:v>103.9417594449102</c:v>
                </c:pt>
                <c:pt idx="36">
                  <c:v>105.56655809109428</c:v>
                </c:pt>
                <c:pt idx="37">
                  <c:v>106.60299941300465</c:v>
                </c:pt>
                <c:pt idx="38">
                  <c:v>106.39638231877312</c:v>
                </c:pt>
                <c:pt idx="39">
                  <c:v>108.39823402767487</c:v>
                </c:pt>
                <c:pt idx="40">
                  <c:v>108.53273005384843</c:v>
                </c:pt>
                <c:pt idx="41">
                  <c:v>109.26860725518712</c:v>
                </c:pt>
                <c:pt idx="42">
                  <c:v>108.89859084777852</c:v>
                </c:pt>
                <c:pt idx="43">
                  <c:v>109.25985977254798</c:v>
                </c:pt>
                <c:pt idx="44">
                  <c:v>109.89616358032239</c:v>
                </c:pt>
                <c:pt idx="45">
                  <c:v>111.31518582006431</c:v>
                </c:pt>
                <c:pt idx="46">
                  <c:v>110.45008184836426</c:v>
                </c:pt>
                <c:pt idx="47">
                  <c:v>112.18501753553097</c:v>
                </c:pt>
                <c:pt idx="48">
                  <c:v>112.67331542910364</c:v>
                </c:pt>
                <c:pt idx="49">
                  <c:v>112.2587849307569</c:v>
                </c:pt>
                <c:pt idx="50">
                  <c:v>111.66377106605928</c:v>
                </c:pt>
                <c:pt idx="51">
                  <c:v>111.13085659614495</c:v>
                </c:pt>
                <c:pt idx="52">
                  <c:v>112.4129337132708</c:v>
                </c:pt>
                <c:pt idx="53">
                  <c:v>110.99938962256044</c:v>
                </c:pt>
                <c:pt idx="54">
                  <c:v>109.0461690134656</c:v>
                </c:pt>
                <c:pt idx="55">
                  <c:v>110.25980921362452</c:v>
                </c:pt>
                <c:pt idx="56">
                  <c:v>112.9479375400483</c:v>
                </c:pt>
                <c:pt idx="57">
                  <c:v>112.45602221899564</c:v>
                </c:pt>
                <c:pt idx="58">
                  <c:v>113.77930813764281</c:v>
                </c:pt>
                <c:pt idx="59">
                  <c:v>111.65415914122421</c:v>
                </c:pt>
                <c:pt idx="60">
                  <c:v>112.36022923989178</c:v>
                </c:pt>
                <c:pt idx="61">
                  <c:v>111.19598104042466</c:v>
                </c:pt>
                <c:pt idx="62">
                  <c:v>109.66542160359261</c:v>
                </c:pt>
                <c:pt idx="63">
                  <c:v>110.03996469401891</c:v>
                </c:pt>
                <c:pt idx="64">
                  <c:v>110.59435345384985</c:v>
                </c:pt>
                <c:pt idx="65">
                  <c:v>108.33122724752819</c:v>
                </c:pt>
                <c:pt idx="66">
                  <c:v>109.21243704961864</c:v>
                </c:pt>
                <c:pt idx="67">
                  <c:v>109.08987839398763</c:v>
                </c:pt>
                <c:pt idx="68">
                  <c:v>109.11136092664736</c:v>
                </c:pt>
                <c:pt idx="69">
                  <c:v>106.56154711865116</c:v>
                </c:pt>
                <c:pt idx="70">
                  <c:v>105.0525653390979</c:v>
                </c:pt>
                <c:pt idx="71">
                  <c:v>103.94158115299388</c:v>
                </c:pt>
                <c:pt idx="72">
                  <c:v>101.49730443569042</c:v>
                </c:pt>
                <c:pt idx="73">
                  <c:v>98.764510606306061</c:v>
                </c:pt>
                <c:pt idx="74">
                  <c:v>97.295391647337169</c:v>
                </c:pt>
                <c:pt idx="75">
                  <c:v>97.292536121511759</c:v>
                </c:pt>
                <c:pt idx="76">
                  <c:v>97.09872966481575</c:v>
                </c:pt>
                <c:pt idx="77">
                  <c:v>96.629364525305633</c:v>
                </c:pt>
                <c:pt idx="78">
                  <c:v>96.229126576019496</c:v>
                </c:pt>
                <c:pt idx="79">
                  <c:v>95.535142439569867</c:v>
                </c:pt>
                <c:pt idx="80">
                  <c:v>95.030190694636417</c:v>
                </c:pt>
                <c:pt idx="81">
                  <c:v>95.939684689480785</c:v>
                </c:pt>
                <c:pt idx="82">
                  <c:v>96.24162944476339</c:v>
                </c:pt>
                <c:pt idx="83">
                  <c:v>96.09230531071367</c:v>
                </c:pt>
                <c:pt idx="84">
                  <c:v>96.407486350541589</c:v>
                </c:pt>
                <c:pt idx="85">
                  <c:v>96.040304250449012</c:v>
                </c:pt>
                <c:pt idx="86">
                  <c:v>97.300369052383488</c:v>
                </c:pt>
                <c:pt idx="87">
                  <c:v>96.183831997144722</c:v>
                </c:pt>
                <c:pt idx="88">
                  <c:v>96.86623917980944</c:v>
                </c:pt>
                <c:pt idx="89">
                  <c:v>100.19934954078371</c:v>
                </c:pt>
                <c:pt idx="90">
                  <c:v>99.353880660158367</c:v>
                </c:pt>
                <c:pt idx="91">
                  <c:v>99.72122492506044</c:v>
                </c:pt>
                <c:pt idx="92">
                  <c:v>99.130077867481944</c:v>
                </c:pt>
                <c:pt idx="93">
                  <c:v>100.34522750271907</c:v>
                </c:pt>
                <c:pt idx="94">
                  <c:v>101.57272077531712</c:v>
                </c:pt>
                <c:pt idx="95">
                  <c:v>101.7114254410976</c:v>
                </c:pt>
                <c:pt idx="96">
                  <c:v>102.3371578944662</c:v>
                </c:pt>
                <c:pt idx="97">
                  <c:v>100.82941156667486</c:v>
                </c:pt>
                <c:pt idx="98">
                  <c:v>101.51091155781052</c:v>
                </c:pt>
                <c:pt idx="99">
                  <c:v>102.09199039462324</c:v>
                </c:pt>
                <c:pt idx="100">
                  <c:v>101.80723207977371</c:v>
                </c:pt>
                <c:pt idx="101">
                  <c:v>101.8906239277657</c:v>
                </c:pt>
                <c:pt idx="102">
                  <c:v>103.12150636203968</c:v>
                </c:pt>
                <c:pt idx="103">
                  <c:v>104.05294849061285</c:v>
                </c:pt>
                <c:pt idx="104">
                  <c:v>105.31725896648116</c:v>
                </c:pt>
                <c:pt idx="105">
                  <c:v>104.09448920716375</c:v>
                </c:pt>
                <c:pt idx="106">
                  <c:v>104.14854999001531</c:v>
                </c:pt>
                <c:pt idx="107">
                  <c:v>102.76151464029226</c:v>
                </c:pt>
                <c:pt idx="108">
                  <c:v>104.22008577635452</c:v>
                </c:pt>
                <c:pt idx="109">
                  <c:v>104.26551799658061</c:v>
                </c:pt>
                <c:pt idx="110">
                  <c:v>104.28427185750105</c:v>
                </c:pt>
                <c:pt idx="111">
                  <c:v>103.18703150832457</c:v>
                </c:pt>
                <c:pt idx="112">
                  <c:v>101.89415026317933</c:v>
                </c:pt>
                <c:pt idx="113">
                  <c:v>100.93792271389964</c:v>
                </c:pt>
                <c:pt idx="114">
                  <c:v>101.15540390509729</c:v>
                </c:pt>
                <c:pt idx="115">
                  <c:v>102.29545413824438</c:v>
                </c:pt>
                <c:pt idx="116">
                  <c:v>101.37196809168411</c:v>
                </c:pt>
                <c:pt idx="117">
                  <c:v>100.27174546304808</c:v>
                </c:pt>
                <c:pt idx="118">
                  <c:v>100.00893248879156</c:v>
                </c:pt>
                <c:pt idx="119">
                  <c:v>97.222591079568332</c:v>
                </c:pt>
                <c:pt idx="120">
                  <c:v>96.987126031661234</c:v>
                </c:pt>
                <c:pt idx="121">
                  <c:v>97.759856418832669</c:v>
                </c:pt>
                <c:pt idx="122">
                  <c:v>98.535999984452388</c:v>
                </c:pt>
                <c:pt idx="123">
                  <c:v>98.086345283398117</c:v>
                </c:pt>
                <c:pt idx="124">
                  <c:v>100.4190169467511</c:v>
                </c:pt>
                <c:pt idx="125">
                  <c:v>101.26992913590635</c:v>
                </c:pt>
                <c:pt idx="126">
                  <c:v>100.13620031256583</c:v>
                </c:pt>
                <c:pt idx="127">
                  <c:v>98.392581808154503</c:v>
                </c:pt>
                <c:pt idx="128">
                  <c:v>98.563720597762995</c:v>
                </c:pt>
                <c:pt idx="129">
                  <c:v>98.766896618765927</c:v>
                </c:pt>
                <c:pt idx="130">
                  <c:v>99.593644942052123</c:v>
                </c:pt>
                <c:pt idx="131">
                  <c:v>96.83594321484604</c:v>
                </c:pt>
                <c:pt idx="132">
                  <c:v>95.837228444347744</c:v>
                </c:pt>
                <c:pt idx="133">
                  <c:v>96.724329706477377</c:v>
                </c:pt>
                <c:pt idx="134">
                  <c:v>96.879029750998839</c:v>
                </c:pt>
                <c:pt idx="135">
                  <c:v>97.618354168246654</c:v>
                </c:pt>
                <c:pt idx="136">
                  <c:v>96.854916462910239</c:v>
                </c:pt>
                <c:pt idx="137">
                  <c:v>98.036162091720612</c:v>
                </c:pt>
                <c:pt idx="138">
                  <c:v>99.971247479553185</c:v>
                </c:pt>
                <c:pt idx="139">
                  <c:v>100.30236233640363</c:v>
                </c:pt>
                <c:pt idx="140">
                  <c:v>101.18782193869789</c:v>
                </c:pt>
                <c:pt idx="141">
                  <c:v>102.04526607354359</c:v>
                </c:pt>
                <c:pt idx="142">
                  <c:v>100.673790580625</c:v>
                </c:pt>
                <c:pt idx="143">
                  <c:v>101.09656317794354</c:v>
                </c:pt>
                <c:pt idx="144">
                  <c:v>101.43013565435163</c:v>
                </c:pt>
                <c:pt idx="145">
                  <c:v>102.03534025235167</c:v>
                </c:pt>
                <c:pt idx="146">
                  <c:v>103.06831930732822</c:v>
                </c:pt>
                <c:pt idx="147">
                  <c:v>102.09546718575575</c:v>
                </c:pt>
                <c:pt idx="148">
                  <c:v>102.69895417488105</c:v>
                </c:pt>
                <c:pt idx="149">
                  <c:v>101.62297523686216</c:v>
                </c:pt>
                <c:pt idx="150">
                  <c:v>100.83084601386832</c:v>
                </c:pt>
                <c:pt idx="151">
                  <c:v>101.15833362648078</c:v>
                </c:pt>
                <c:pt idx="152">
                  <c:v>103.21181519166504</c:v>
                </c:pt>
                <c:pt idx="153">
                  <c:v>101.06696393486672</c:v>
                </c:pt>
                <c:pt idx="154">
                  <c:v>99.633355684735875</c:v>
                </c:pt>
                <c:pt idx="155">
                  <c:v>98.906534925851858</c:v>
                </c:pt>
                <c:pt idx="156">
                  <c:v>97.094165452020633</c:v>
                </c:pt>
                <c:pt idx="157">
                  <c:v>97.496187834466753</c:v>
                </c:pt>
                <c:pt idx="158">
                  <c:v>100.83995252053033</c:v>
                </c:pt>
                <c:pt idx="159">
                  <c:v>99.287438513363171</c:v>
                </c:pt>
                <c:pt idx="160">
                  <c:v>100.69061169602527</c:v>
                </c:pt>
                <c:pt idx="161">
                  <c:v>99.458004013075865</c:v>
                </c:pt>
                <c:pt idx="162">
                  <c:v>98.666658841720647</c:v>
                </c:pt>
                <c:pt idx="163">
                  <c:v>95.894856877479668</c:v>
                </c:pt>
                <c:pt idx="164">
                  <c:v>95.334314174473064</c:v>
                </c:pt>
                <c:pt idx="165">
                  <c:v>95.816006646110054</c:v>
                </c:pt>
                <c:pt idx="166">
                  <c:v>97.373287950529814</c:v>
                </c:pt>
                <c:pt idx="167">
                  <c:v>97.13894608152043</c:v>
                </c:pt>
                <c:pt idx="168">
                  <c:v>97.776027181822514</c:v>
                </c:pt>
                <c:pt idx="169">
                  <c:v>97.047578712601066</c:v>
                </c:pt>
                <c:pt idx="170">
                  <c:v>99.085332071417142</c:v>
                </c:pt>
                <c:pt idx="171">
                  <c:v>98.335032851945002</c:v>
                </c:pt>
                <c:pt idx="172">
                  <c:v>99.478516312421561</c:v>
                </c:pt>
                <c:pt idx="173">
                  <c:v>99.523336040554653</c:v>
                </c:pt>
                <c:pt idx="174">
                  <c:v>98.954201450929304</c:v>
                </c:pt>
                <c:pt idx="175">
                  <c:v>98.081768261839727</c:v>
                </c:pt>
                <c:pt idx="176">
                  <c:v>100.49649636405802</c:v>
                </c:pt>
                <c:pt idx="177">
                  <c:v>99.86423358134158</c:v>
                </c:pt>
                <c:pt idx="178">
                  <c:v>100.22312211361798</c:v>
                </c:pt>
                <c:pt idx="179">
                  <c:v>100.40967828616114</c:v>
                </c:pt>
                <c:pt idx="180">
                  <c:v>102.5977759530697</c:v>
                </c:pt>
                <c:pt idx="181">
                  <c:v>101.00445610514761</c:v>
                </c:pt>
                <c:pt idx="182">
                  <c:v>100.98488856769319</c:v>
                </c:pt>
                <c:pt idx="183">
                  <c:v>100.89601725127694</c:v>
                </c:pt>
                <c:pt idx="184">
                  <c:v>100.10819613370599</c:v>
                </c:pt>
                <c:pt idx="185">
                  <c:v>100.93407703540947</c:v>
                </c:pt>
                <c:pt idx="186">
                  <c:v>102.2662768057093</c:v>
                </c:pt>
                <c:pt idx="187">
                  <c:v>103.00917190726824</c:v>
                </c:pt>
                <c:pt idx="188">
                  <c:v>102.45569853826323</c:v>
                </c:pt>
                <c:pt idx="189">
                  <c:v>99.474180405056217</c:v>
                </c:pt>
                <c:pt idx="190">
                  <c:v>100.45218382691306</c:v>
                </c:pt>
                <c:pt idx="191">
                  <c:v>99.671076773525073</c:v>
                </c:pt>
                <c:pt idx="192">
                  <c:v>100.03830316170901</c:v>
                </c:pt>
                <c:pt idx="193">
                  <c:v>99.766429811149791</c:v>
                </c:pt>
                <c:pt idx="194">
                  <c:v>100.50792200582764</c:v>
                </c:pt>
                <c:pt idx="195">
                  <c:v>100.15500513758371</c:v>
                </c:pt>
                <c:pt idx="196">
                  <c:v>101.76105920050176</c:v>
                </c:pt>
                <c:pt idx="197">
                  <c:v>101.62437315604876</c:v>
                </c:pt>
                <c:pt idx="198">
                  <c:v>100.46004318864497</c:v>
                </c:pt>
                <c:pt idx="199">
                  <c:v>100.91820230957896</c:v>
                </c:pt>
                <c:pt idx="200">
                  <c:v>101.54888509257853</c:v>
                </c:pt>
                <c:pt idx="201">
                  <c:v>103.24629213503562</c:v>
                </c:pt>
                <c:pt idx="202">
                  <c:v>104.12126062622374</c:v>
                </c:pt>
                <c:pt idx="203">
                  <c:v>104.52723134729453</c:v>
                </c:pt>
                <c:pt idx="204">
                  <c:v>105.64725730048931</c:v>
                </c:pt>
                <c:pt idx="205">
                  <c:v>107.20723802201034</c:v>
                </c:pt>
                <c:pt idx="206">
                  <c:v>106.7503234462679</c:v>
                </c:pt>
                <c:pt idx="207">
                  <c:v>109.39642720262309</c:v>
                </c:pt>
                <c:pt idx="208">
                  <c:v>107.07922605737227</c:v>
                </c:pt>
                <c:pt idx="209">
                  <c:v>107.44366892844255</c:v>
                </c:pt>
                <c:pt idx="210">
                  <c:v>107.42946383993623</c:v>
                </c:pt>
                <c:pt idx="211">
                  <c:v>107.62651379044337</c:v>
                </c:pt>
                <c:pt idx="212">
                  <c:v>109.16495277034245</c:v>
                </c:pt>
                <c:pt idx="213">
                  <c:v>108.92488384465891</c:v>
                </c:pt>
                <c:pt idx="214">
                  <c:v>108.94903138114756</c:v>
                </c:pt>
                <c:pt idx="215">
                  <c:v>110.13357302188815</c:v>
                </c:pt>
                <c:pt idx="216">
                  <c:v>108.00162690067418</c:v>
                </c:pt>
                <c:pt idx="217">
                  <c:v>106.78886264296614</c:v>
                </c:pt>
                <c:pt idx="218">
                  <c:v>104.64887962394195</c:v>
                </c:pt>
                <c:pt idx="219">
                  <c:v>105.59974751977182</c:v>
                </c:pt>
                <c:pt idx="220">
                  <c:v>103.76461666104271</c:v>
                </c:pt>
                <c:pt idx="221">
                  <c:v>102.98154139017198</c:v>
                </c:pt>
                <c:pt idx="222">
                  <c:v>104.23634707366878</c:v>
                </c:pt>
                <c:pt idx="223">
                  <c:v>103.90632268149086</c:v>
                </c:pt>
                <c:pt idx="224">
                  <c:v>103.82136681180653</c:v>
                </c:pt>
                <c:pt idx="225">
                  <c:v>104.62527467278002</c:v>
                </c:pt>
                <c:pt idx="226">
                  <c:v>105.79261512209892</c:v>
                </c:pt>
                <c:pt idx="227">
                  <c:v>107.20628212034175</c:v>
                </c:pt>
                <c:pt idx="228">
                  <c:v>104.90006044590461</c:v>
                </c:pt>
                <c:pt idx="229">
                  <c:v>105.41151727555825</c:v>
                </c:pt>
                <c:pt idx="230">
                  <c:v>104.13282276426089</c:v>
                </c:pt>
                <c:pt idx="231">
                  <c:v>105.98141297560689</c:v>
                </c:pt>
                <c:pt idx="232">
                  <c:v>106.91187085642694</c:v>
                </c:pt>
                <c:pt idx="233">
                  <c:v>106.55651906868604</c:v>
                </c:pt>
                <c:pt idx="234">
                  <c:v>106.50721612585659</c:v>
                </c:pt>
                <c:pt idx="235">
                  <c:v>107.73684216913978</c:v>
                </c:pt>
                <c:pt idx="236">
                  <c:v>106.86241079651622</c:v>
                </c:pt>
                <c:pt idx="237">
                  <c:v>105.58887759112682</c:v>
                </c:pt>
                <c:pt idx="238">
                  <c:v>103.76290149581835</c:v>
                </c:pt>
                <c:pt idx="239">
                  <c:v>104.40822758736093</c:v>
                </c:pt>
                <c:pt idx="240">
                  <c:v>105.48609264377903</c:v>
                </c:pt>
                <c:pt idx="241">
                  <c:v>104.30974913472889</c:v>
                </c:pt>
                <c:pt idx="242">
                  <c:v>103.77701611541757</c:v>
                </c:pt>
                <c:pt idx="243">
                  <c:v>102.67508326284414</c:v>
                </c:pt>
                <c:pt idx="244">
                  <c:v>104.084476560797</c:v>
                </c:pt>
                <c:pt idx="245">
                  <c:v>104.01024107280287</c:v>
                </c:pt>
                <c:pt idx="246">
                  <c:v>106.29646350842722</c:v>
                </c:pt>
                <c:pt idx="247">
                  <c:v>105.12139281143604</c:v>
                </c:pt>
                <c:pt idx="248">
                  <c:v>105.75433230297655</c:v>
                </c:pt>
                <c:pt idx="249">
                  <c:v>107.94019812272094</c:v>
                </c:pt>
                <c:pt idx="250">
                  <c:v>107.28166714405528</c:v>
                </c:pt>
                <c:pt idx="251">
                  <c:v>107.64461389598131</c:v>
                </c:pt>
                <c:pt idx="252">
                  <c:v>108.40068482790115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46-424B-B710-4E50FBAF585F}"/>
            </c:ext>
          </c:extLst>
        </c:ser>
        <c:ser>
          <c:idx val="9"/>
          <c:order val="9"/>
          <c:marker>
            <c:symbol val="none"/>
          </c:marker>
          <c:val>
            <c:numRef>
              <c:f>Trajectoires!$M$8:$M$260</c:f>
              <c:numCache>
                <c:formatCode>General</c:formatCode>
                <c:ptCount val="253"/>
                <c:pt idx="0">
                  <c:v>100</c:v>
                </c:pt>
                <c:pt idx="1">
                  <c:v>100.52936522084286</c:v>
                </c:pt>
                <c:pt idx="2">
                  <c:v>100.32221007616752</c:v>
                </c:pt>
                <c:pt idx="3">
                  <c:v>99.436474533093673</c:v>
                </c:pt>
                <c:pt idx="4">
                  <c:v>100.52157308918086</c:v>
                </c:pt>
                <c:pt idx="5">
                  <c:v>99.306744368710369</c:v>
                </c:pt>
                <c:pt idx="6">
                  <c:v>99.508064052861087</c:v>
                </c:pt>
                <c:pt idx="7">
                  <c:v>99.545703895008202</c:v>
                </c:pt>
                <c:pt idx="8">
                  <c:v>98.51752262085644</c:v>
                </c:pt>
                <c:pt idx="9">
                  <c:v>97.482106201144148</c:v>
                </c:pt>
                <c:pt idx="10">
                  <c:v>98.088805414632759</c:v>
                </c:pt>
                <c:pt idx="11">
                  <c:v>95.398422267112593</c:v>
                </c:pt>
                <c:pt idx="12">
                  <c:v>93.94074160967331</c:v>
                </c:pt>
                <c:pt idx="13">
                  <c:v>95.014977014561509</c:v>
                </c:pt>
                <c:pt idx="14">
                  <c:v>96.938783718964672</c:v>
                </c:pt>
                <c:pt idx="15">
                  <c:v>95.769175570896138</c:v>
                </c:pt>
                <c:pt idx="16">
                  <c:v>95.350838911992838</c:v>
                </c:pt>
                <c:pt idx="17">
                  <c:v>94.948900274328267</c:v>
                </c:pt>
                <c:pt idx="18">
                  <c:v>91.987357058370662</c:v>
                </c:pt>
                <c:pt idx="19">
                  <c:v>89.913985405312445</c:v>
                </c:pt>
                <c:pt idx="20">
                  <c:v>92.377782349370804</c:v>
                </c:pt>
                <c:pt idx="21">
                  <c:v>94.014332271722637</c:v>
                </c:pt>
                <c:pt idx="22">
                  <c:v>91.471327423581855</c:v>
                </c:pt>
                <c:pt idx="23">
                  <c:v>90.458712950281779</c:v>
                </c:pt>
                <c:pt idx="24">
                  <c:v>89.48528690355532</c:v>
                </c:pt>
                <c:pt idx="25">
                  <c:v>89.908888014728319</c:v>
                </c:pt>
                <c:pt idx="26">
                  <c:v>88.767132857344563</c:v>
                </c:pt>
                <c:pt idx="27">
                  <c:v>88.340900035606296</c:v>
                </c:pt>
                <c:pt idx="28">
                  <c:v>88.032132990806559</c:v>
                </c:pt>
                <c:pt idx="29">
                  <c:v>86.754218237538637</c:v>
                </c:pt>
                <c:pt idx="30">
                  <c:v>86.485265399053816</c:v>
                </c:pt>
                <c:pt idx="31">
                  <c:v>85.829150363001972</c:v>
                </c:pt>
                <c:pt idx="32">
                  <c:v>84.907631799935672</c:v>
                </c:pt>
                <c:pt idx="33">
                  <c:v>85.226936808854973</c:v>
                </c:pt>
                <c:pt idx="34">
                  <c:v>83.143501860354604</c:v>
                </c:pt>
                <c:pt idx="35">
                  <c:v>83.669030987198369</c:v>
                </c:pt>
                <c:pt idx="36">
                  <c:v>84.314608264219586</c:v>
                </c:pt>
                <c:pt idx="37">
                  <c:v>83.361308267825322</c:v>
                </c:pt>
                <c:pt idx="38">
                  <c:v>81.247408792747521</c:v>
                </c:pt>
                <c:pt idx="39">
                  <c:v>81.657559210869223</c:v>
                </c:pt>
                <c:pt idx="40">
                  <c:v>82.481445940740727</c:v>
                </c:pt>
                <c:pt idx="41">
                  <c:v>83.63792981843774</c:v>
                </c:pt>
                <c:pt idx="42">
                  <c:v>83.22585928623927</c:v>
                </c:pt>
                <c:pt idx="43">
                  <c:v>83.52767357996629</c:v>
                </c:pt>
                <c:pt idx="44">
                  <c:v>82.748272183373672</c:v>
                </c:pt>
                <c:pt idx="45">
                  <c:v>84.274473826926595</c:v>
                </c:pt>
                <c:pt idx="46">
                  <c:v>85.434259922934629</c:v>
                </c:pt>
                <c:pt idx="47">
                  <c:v>86.116408826116228</c:v>
                </c:pt>
                <c:pt idx="48">
                  <c:v>87.515708092912575</c:v>
                </c:pt>
                <c:pt idx="49">
                  <c:v>89.194592423073644</c:v>
                </c:pt>
                <c:pt idx="50">
                  <c:v>89.151235986501717</c:v>
                </c:pt>
                <c:pt idx="51">
                  <c:v>89.343672374057093</c:v>
                </c:pt>
                <c:pt idx="52">
                  <c:v>87.75534083530269</c:v>
                </c:pt>
                <c:pt idx="53">
                  <c:v>86.98724554331983</c:v>
                </c:pt>
                <c:pt idx="54">
                  <c:v>87.360587058091525</c:v>
                </c:pt>
                <c:pt idx="55">
                  <c:v>87.651555658631864</c:v>
                </c:pt>
                <c:pt idx="56">
                  <c:v>88.566446905064026</c:v>
                </c:pt>
                <c:pt idx="57">
                  <c:v>90.065808531887669</c:v>
                </c:pt>
                <c:pt idx="58">
                  <c:v>89.452306425918465</c:v>
                </c:pt>
                <c:pt idx="59">
                  <c:v>90.355343075622358</c:v>
                </c:pt>
                <c:pt idx="60">
                  <c:v>91.794383796434389</c:v>
                </c:pt>
                <c:pt idx="61">
                  <c:v>90.68995230128948</c:v>
                </c:pt>
                <c:pt idx="62">
                  <c:v>90.52424272374526</c:v>
                </c:pt>
                <c:pt idx="63">
                  <c:v>92.347293237285456</c:v>
                </c:pt>
                <c:pt idx="64">
                  <c:v>90.997272772188452</c:v>
                </c:pt>
                <c:pt idx="65">
                  <c:v>90.819205769068304</c:v>
                </c:pt>
                <c:pt idx="66">
                  <c:v>90.851676697801992</c:v>
                </c:pt>
                <c:pt idx="67">
                  <c:v>90.704848003826925</c:v>
                </c:pt>
                <c:pt idx="68">
                  <c:v>90.822113813865116</c:v>
                </c:pt>
                <c:pt idx="69">
                  <c:v>91.037025762482898</c:v>
                </c:pt>
                <c:pt idx="70">
                  <c:v>90.175179138059349</c:v>
                </c:pt>
                <c:pt idx="71">
                  <c:v>92.139984777175712</c:v>
                </c:pt>
                <c:pt idx="72">
                  <c:v>89.383139861095245</c:v>
                </c:pt>
                <c:pt idx="73">
                  <c:v>88.242354469743034</c:v>
                </c:pt>
                <c:pt idx="74">
                  <c:v>86.756910218746967</c:v>
                </c:pt>
                <c:pt idx="75">
                  <c:v>88.223329362591286</c:v>
                </c:pt>
                <c:pt idx="76">
                  <c:v>88.553735804018487</c:v>
                </c:pt>
                <c:pt idx="77">
                  <c:v>87.958855841180025</c:v>
                </c:pt>
                <c:pt idx="78">
                  <c:v>86.360122384528481</c:v>
                </c:pt>
                <c:pt idx="79">
                  <c:v>87.502579891083897</c:v>
                </c:pt>
                <c:pt idx="80">
                  <c:v>89.56543358515772</c:v>
                </c:pt>
                <c:pt idx="81">
                  <c:v>90.143807936906384</c:v>
                </c:pt>
                <c:pt idx="82">
                  <c:v>88.301966113435014</c:v>
                </c:pt>
                <c:pt idx="83">
                  <c:v>87.378839077117149</c:v>
                </c:pt>
                <c:pt idx="84">
                  <c:v>87.930040554060355</c:v>
                </c:pt>
                <c:pt idx="85">
                  <c:v>87.22904905854287</c:v>
                </c:pt>
                <c:pt idx="86">
                  <c:v>86.217927460572994</c:v>
                </c:pt>
                <c:pt idx="87">
                  <c:v>86.799279692557576</c:v>
                </c:pt>
                <c:pt idx="88">
                  <c:v>85.615545402330355</c:v>
                </c:pt>
                <c:pt idx="89">
                  <c:v>87.423704842176619</c:v>
                </c:pt>
                <c:pt idx="90">
                  <c:v>89.248294727414276</c:v>
                </c:pt>
                <c:pt idx="91">
                  <c:v>90.248705558251586</c:v>
                </c:pt>
                <c:pt idx="92">
                  <c:v>90.523566845717781</c:v>
                </c:pt>
                <c:pt idx="93">
                  <c:v>88.767021725263746</c:v>
                </c:pt>
                <c:pt idx="94">
                  <c:v>87.95421476785198</c:v>
                </c:pt>
                <c:pt idx="95">
                  <c:v>87.714240794401661</c:v>
                </c:pt>
                <c:pt idx="96">
                  <c:v>88.339710481683085</c:v>
                </c:pt>
                <c:pt idx="97">
                  <c:v>86.412393811852468</c:v>
                </c:pt>
                <c:pt idx="98">
                  <c:v>88.355450906239241</c:v>
                </c:pt>
                <c:pt idx="99">
                  <c:v>88.008087759711529</c:v>
                </c:pt>
                <c:pt idx="100">
                  <c:v>87.421831013252685</c:v>
                </c:pt>
                <c:pt idx="101">
                  <c:v>87.435590426184135</c:v>
                </c:pt>
                <c:pt idx="102">
                  <c:v>89.731575577640768</c:v>
                </c:pt>
                <c:pt idx="103">
                  <c:v>90.898383916562608</c:v>
                </c:pt>
                <c:pt idx="104">
                  <c:v>89.400253400783839</c:v>
                </c:pt>
                <c:pt idx="105">
                  <c:v>91.027323688033505</c:v>
                </c:pt>
                <c:pt idx="106">
                  <c:v>91.199179031174722</c:v>
                </c:pt>
                <c:pt idx="107">
                  <c:v>89.398397067264909</c:v>
                </c:pt>
                <c:pt idx="108">
                  <c:v>88.061155637770483</c:v>
                </c:pt>
                <c:pt idx="109">
                  <c:v>88.852297486639898</c:v>
                </c:pt>
                <c:pt idx="110">
                  <c:v>92.21191583089815</c:v>
                </c:pt>
                <c:pt idx="111">
                  <c:v>92.563332791446882</c:v>
                </c:pt>
                <c:pt idx="112">
                  <c:v>90.821062571073995</c:v>
                </c:pt>
                <c:pt idx="113">
                  <c:v>89.202909670435361</c:v>
                </c:pt>
                <c:pt idx="114">
                  <c:v>88.454779605945689</c:v>
                </c:pt>
                <c:pt idx="115">
                  <c:v>88.537126199437793</c:v>
                </c:pt>
                <c:pt idx="116">
                  <c:v>88.425353282707007</c:v>
                </c:pt>
                <c:pt idx="117">
                  <c:v>88.362399849261834</c:v>
                </c:pt>
                <c:pt idx="118">
                  <c:v>88.786362874207299</c:v>
                </c:pt>
                <c:pt idx="119">
                  <c:v>87.52301966553749</c:v>
                </c:pt>
                <c:pt idx="120">
                  <c:v>88.653888073969753</c:v>
                </c:pt>
                <c:pt idx="121">
                  <c:v>88.71546725281523</c:v>
                </c:pt>
                <c:pt idx="122">
                  <c:v>89.124434273230307</c:v>
                </c:pt>
                <c:pt idx="123">
                  <c:v>89.027119524366512</c:v>
                </c:pt>
                <c:pt idx="124">
                  <c:v>88.918081563044225</c:v>
                </c:pt>
                <c:pt idx="125">
                  <c:v>89.432592835509283</c:v>
                </c:pt>
                <c:pt idx="126">
                  <c:v>89.555814727543947</c:v>
                </c:pt>
                <c:pt idx="127">
                  <c:v>87.927326804377188</c:v>
                </c:pt>
                <c:pt idx="128">
                  <c:v>88.654248061906344</c:v>
                </c:pt>
                <c:pt idx="129">
                  <c:v>89.350504351159131</c:v>
                </c:pt>
                <c:pt idx="130">
                  <c:v>90.55261385624614</c:v>
                </c:pt>
                <c:pt idx="131">
                  <c:v>91.479202388020127</c:v>
                </c:pt>
                <c:pt idx="132">
                  <c:v>91.582934313754691</c:v>
                </c:pt>
                <c:pt idx="133">
                  <c:v>90.253271866805022</c:v>
                </c:pt>
                <c:pt idx="134">
                  <c:v>87.693596000412768</c:v>
                </c:pt>
                <c:pt idx="135">
                  <c:v>88.506274012285402</c:v>
                </c:pt>
                <c:pt idx="136">
                  <c:v>86.849251848424345</c:v>
                </c:pt>
                <c:pt idx="137">
                  <c:v>85.808304095080132</c:v>
                </c:pt>
                <c:pt idx="138">
                  <c:v>85.841669333718812</c:v>
                </c:pt>
                <c:pt idx="139">
                  <c:v>84.884018167662944</c:v>
                </c:pt>
                <c:pt idx="140">
                  <c:v>86.120932377151789</c:v>
                </c:pt>
                <c:pt idx="141">
                  <c:v>85.337442856315675</c:v>
                </c:pt>
                <c:pt idx="142">
                  <c:v>87.10536446631636</c:v>
                </c:pt>
                <c:pt idx="143">
                  <c:v>87.977784603764519</c:v>
                </c:pt>
                <c:pt idx="144">
                  <c:v>86.748730269872027</c:v>
                </c:pt>
                <c:pt idx="145">
                  <c:v>87.213124198916631</c:v>
                </c:pt>
                <c:pt idx="146">
                  <c:v>87.769251393426202</c:v>
                </c:pt>
                <c:pt idx="147">
                  <c:v>86.12599473044213</c:v>
                </c:pt>
                <c:pt idx="148">
                  <c:v>84.914433043244316</c:v>
                </c:pt>
                <c:pt idx="149">
                  <c:v>84.442985498487346</c:v>
                </c:pt>
                <c:pt idx="150">
                  <c:v>85.219407135537793</c:v>
                </c:pt>
                <c:pt idx="151">
                  <c:v>84.10068859067546</c:v>
                </c:pt>
                <c:pt idx="152">
                  <c:v>83.001141046062429</c:v>
                </c:pt>
                <c:pt idx="153">
                  <c:v>82.581865779671972</c:v>
                </c:pt>
                <c:pt idx="154">
                  <c:v>83.313607488484664</c:v>
                </c:pt>
                <c:pt idx="155">
                  <c:v>83.550895557056734</c:v>
                </c:pt>
                <c:pt idx="156">
                  <c:v>83.884168440978868</c:v>
                </c:pt>
                <c:pt idx="157">
                  <c:v>83.311577606982851</c:v>
                </c:pt>
                <c:pt idx="158">
                  <c:v>81.683008844824968</c:v>
                </c:pt>
                <c:pt idx="159">
                  <c:v>81.849388395823965</c:v>
                </c:pt>
                <c:pt idx="160">
                  <c:v>81.049029086288144</c:v>
                </c:pt>
                <c:pt idx="161">
                  <c:v>80.744527791841151</c:v>
                </c:pt>
                <c:pt idx="162">
                  <c:v>79.725396962713177</c:v>
                </c:pt>
                <c:pt idx="163">
                  <c:v>81.77019065912296</c:v>
                </c:pt>
                <c:pt idx="164">
                  <c:v>81.812142210887075</c:v>
                </c:pt>
                <c:pt idx="165">
                  <c:v>82.096287840080223</c:v>
                </c:pt>
                <c:pt idx="166">
                  <c:v>81.278216125763478</c:v>
                </c:pt>
                <c:pt idx="167">
                  <c:v>82.285522105248347</c:v>
                </c:pt>
                <c:pt idx="168">
                  <c:v>81.620784592001598</c:v>
                </c:pt>
                <c:pt idx="169">
                  <c:v>81.095323538385159</c:v>
                </c:pt>
                <c:pt idx="170">
                  <c:v>80.432560805929512</c:v>
                </c:pt>
                <c:pt idx="171">
                  <c:v>79.897602323659839</c:v>
                </c:pt>
                <c:pt idx="172">
                  <c:v>81.415134527439761</c:v>
                </c:pt>
                <c:pt idx="173">
                  <c:v>83.964695648438564</c:v>
                </c:pt>
                <c:pt idx="174">
                  <c:v>83.621060949713964</c:v>
                </c:pt>
                <c:pt idx="175">
                  <c:v>83.348003493353175</c:v>
                </c:pt>
                <c:pt idx="176">
                  <c:v>83.226403722195883</c:v>
                </c:pt>
                <c:pt idx="177">
                  <c:v>81.515665292119394</c:v>
                </c:pt>
                <c:pt idx="178">
                  <c:v>82.088195592621986</c:v>
                </c:pt>
                <c:pt idx="179">
                  <c:v>82.692197970722546</c:v>
                </c:pt>
                <c:pt idx="180">
                  <c:v>81.770735262064434</c:v>
                </c:pt>
                <c:pt idx="181">
                  <c:v>81.049973596245437</c:v>
                </c:pt>
                <c:pt idx="182">
                  <c:v>80.845265560100216</c:v>
                </c:pt>
                <c:pt idx="183">
                  <c:v>80.159103546264376</c:v>
                </c:pt>
                <c:pt idx="184">
                  <c:v>81.199679638112087</c:v>
                </c:pt>
                <c:pt idx="185">
                  <c:v>80.214500936889934</c:v>
                </c:pt>
                <c:pt idx="186">
                  <c:v>80.062207259582905</c:v>
                </c:pt>
                <c:pt idx="187">
                  <c:v>81.014745704672862</c:v>
                </c:pt>
                <c:pt idx="188">
                  <c:v>81.49393256647177</c:v>
                </c:pt>
                <c:pt idx="189">
                  <c:v>84.25598992603426</c:v>
                </c:pt>
                <c:pt idx="190">
                  <c:v>83.106962041464541</c:v>
                </c:pt>
                <c:pt idx="191">
                  <c:v>85.853527292442777</c:v>
                </c:pt>
                <c:pt idx="192">
                  <c:v>84.882660282904382</c:v>
                </c:pt>
                <c:pt idx="193">
                  <c:v>85.651359404784557</c:v>
                </c:pt>
                <c:pt idx="194">
                  <c:v>86.245540745740882</c:v>
                </c:pt>
                <c:pt idx="195">
                  <c:v>86.053564545141285</c:v>
                </c:pt>
                <c:pt idx="196">
                  <c:v>85.851544714644632</c:v>
                </c:pt>
                <c:pt idx="197">
                  <c:v>85.308793061728196</c:v>
                </c:pt>
                <c:pt idx="198">
                  <c:v>84.610764242341347</c:v>
                </c:pt>
                <c:pt idx="199">
                  <c:v>84.296618971044964</c:v>
                </c:pt>
                <c:pt idx="200">
                  <c:v>85.499069408513293</c:v>
                </c:pt>
                <c:pt idx="201">
                  <c:v>86.192436492927584</c:v>
                </c:pt>
                <c:pt idx="202">
                  <c:v>86.41269507215749</c:v>
                </c:pt>
                <c:pt idx="203">
                  <c:v>86.124464450860458</c:v>
                </c:pt>
                <c:pt idx="204">
                  <c:v>83.786618090650535</c:v>
                </c:pt>
                <c:pt idx="205">
                  <c:v>85.003464656561164</c:v>
                </c:pt>
                <c:pt idx="206">
                  <c:v>85.286943223735705</c:v>
                </c:pt>
                <c:pt idx="207">
                  <c:v>86.085135563544313</c:v>
                </c:pt>
                <c:pt idx="208">
                  <c:v>86.885653284428571</c:v>
                </c:pt>
                <c:pt idx="209">
                  <c:v>89.012117428825022</c:v>
                </c:pt>
                <c:pt idx="210">
                  <c:v>90.013683628102385</c:v>
                </c:pt>
                <c:pt idx="211">
                  <c:v>90.987636060885492</c:v>
                </c:pt>
                <c:pt idx="212">
                  <c:v>91.472832308487483</c:v>
                </c:pt>
                <c:pt idx="213">
                  <c:v>90.447212418934967</c:v>
                </c:pt>
                <c:pt idx="214">
                  <c:v>92.029766699573031</c:v>
                </c:pt>
                <c:pt idx="215">
                  <c:v>92.464650592983233</c:v>
                </c:pt>
                <c:pt idx="216">
                  <c:v>92.86080970504419</c:v>
                </c:pt>
                <c:pt idx="217">
                  <c:v>92.403835254208488</c:v>
                </c:pt>
                <c:pt idx="218">
                  <c:v>92.073443917417151</c:v>
                </c:pt>
                <c:pt idx="219">
                  <c:v>90.788860031489321</c:v>
                </c:pt>
                <c:pt idx="220">
                  <c:v>88.584246064904676</c:v>
                </c:pt>
                <c:pt idx="221">
                  <c:v>88.698971827907954</c:v>
                </c:pt>
                <c:pt idx="222">
                  <c:v>86.447106285057302</c:v>
                </c:pt>
                <c:pt idx="223">
                  <c:v>85.361236834667352</c:v>
                </c:pt>
                <c:pt idx="224">
                  <c:v>85.674733130712269</c:v>
                </c:pt>
                <c:pt idx="225">
                  <c:v>86.813958839855317</c:v>
                </c:pt>
                <c:pt idx="226">
                  <c:v>88.159821076997545</c:v>
                </c:pt>
                <c:pt idx="227">
                  <c:v>88.39806737980129</c:v>
                </c:pt>
                <c:pt idx="228">
                  <c:v>87.653674172786737</c:v>
                </c:pt>
                <c:pt idx="229">
                  <c:v>88.541604504137325</c:v>
                </c:pt>
                <c:pt idx="230">
                  <c:v>87.122214452885828</c:v>
                </c:pt>
                <c:pt idx="231">
                  <c:v>86.786465964570468</c:v>
                </c:pt>
                <c:pt idx="232">
                  <c:v>86.662536472160582</c:v>
                </c:pt>
                <c:pt idx="233">
                  <c:v>88.0770766711547</c:v>
                </c:pt>
                <c:pt idx="234">
                  <c:v>88.815364991370785</c:v>
                </c:pt>
                <c:pt idx="235">
                  <c:v>88.445498104926187</c:v>
                </c:pt>
                <c:pt idx="236">
                  <c:v>88.205062606448053</c:v>
                </c:pt>
                <c:pt idx="237">
                  <c:v>85.942132060887943</c:v>
                </c:pt>
                <c:pt idx="238">
                  <c:v>87.14084844840302</c:v>
                </c:pt>
                <c:pt idx="239">
                  <c:v>87.490010117169589</c:v>
                </c:pt>
                <c:pt idx="240">
                  <c:v>87.457082784483063</c:v>
                </c:pt>
                <c:pt idx="241">
                  <c:v>86.318137859573596</c:v>
                </c:pt>
                <c:pt idx="242">
                  <c:v>86.73048296326688</c:v>
                </c:pt>
                <c:pt idx="243">
                  <c:v>85.924208201875658</c:v>
                </c:pt>
                <c:pt idx="244">
                  <c:v>84.393564870900775</c:v>
                </c:pt>
                <c:pt idx="245">
                  <c:v>85.218822444732751</c:v>
                </c:pt>
                <c:pt idx="246">
                  <c:v>85.511252019873936</c:v>
                </c:pt>
                <c:pt idx="247">
                  <c:v>83.942515423181973</c:v>
                </c:pt>
                <c:pt idx="248">
                  <c:v>84.74623270830115</c:v>
                </c:pt>
                <c:pt idx="249">
                  <c:v>87.628355310330704</c:v>
                </c:pt>
                <c:pt idx="250">
                  <c:v>85.562859340588389</c:v>
                </c:pt>
                <c:pt idx="251">
                  <c:v>85.624976293699859</c:v>
                </c:pt>
                <c:pt idx="252">
                  <c:v>84.634773745997308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46-424B-B710-4E50FBAF5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079936"/>
        <c:axId val="253081472"/>
      </c:lineChart>
      <c:catAx>
        <c:axId val="25307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53081472"/>
        <c:crosses val="autoZero"/>
        <c:auto val="1"/>
        <c:lblAlgn val="ctr"/>
        <c:lblOffset val="100"/>
        <c:noMultiLvlLbl val="0"/>
      </c:catAx>
      <c:valAx>
        <c:axId val="25308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079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8656325627255889"/>
          <c:y val="0.54281933167090468"/>
          <c:w val="9.597649094157093E-2"/>
          <c:h val="0.37613964401095729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2879B5-4CFE-47E2-B91F-206381702229}">
  <sheetPr codeName="Graphique1"/>
  <sheetViews>
    <sheetView zoomScale="14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175" cy="6047619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7CD1F32-F012-4C5D-9A04-BB052FD77CF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260"/>
  <sheetViews>
    <sheetView workbookViewId="0">
      <selection activeCell="D5" sqref="D5"/>
    </sheetView>
  </sheetViews>
  <sheetFormatPr baseColWidth="10" defaultRowHeight="15" x14ac:dyDescent="0.2"/>
  <sheetData>
    <row r="1" spans="1:13" x14ac:dyDescent="0.2">
      <c r="A1">
        <f>GaussRand()</f>
        <v>0.45582016561847921</v>
      </c>
    </row>
    <row r="2" spans="1:13" x14ac:dyDescent="0.2">
      <c r="A2">
        <f t="shared" ref="A2:A39" si="0">GaussRand()</f>
        <v>-0.40271840251666818</v>
      </c>
      <c r="C2" t="s">
        <v>0</v>
      </c>
      <c r="D2">
        <v>0.05</v>
      </c>
    </row>
    <row r="3" spans="1:13" x14ac:dyDescent="0.2">
      <c r="A3">
        <f t="shared" si="0"/>
        <v>-1.9206037938798084</v>
      </c>
      <c r="C3" t="s">
        <v>1</v>
      </c>
      <c r="D3">
        <v>0.2</v>
      </c>
    </row>
    <row r="4" spans="1:13" x14ac:dyDescent="0.2">
      <c r="A4">
        <f t="shared" si="0"/>
        <v>-2.3239828702395355</v>
      </c>
      <c r="C4" t="s">
        <v>4</v>
      </c>
      <c r="D4">
        <v>1</v>
      </c>
    </row>
    <row r="5" spans="1:13" x14ac:dyDescent="0.2">
      <c r="A5">
        <f t="shared" si="0"/>
        <v>0.52955413953530528</v>
      </c>
      <c r="C5" t="s">
        <v>3</v>
      </c>
      <c r="D5">
        <v>252</v>
      </c>
    </row>
    <row r="6" spans="1:13" x14ac:dyDescent="0.2">
      <c r="A6">
        <f t="shared" si="0"/>
        <v>0.86799404044664086</v>
      </c>
    </row>
    <row r="7" spans="1:13" x14ac:dyDescent="0.2">
      <c r="A7">
        <f t="shared" si="0"/>
        <v>0.91553317687451907</v>
      </c>
    </row>
    <row r="8" spans="1:13" x14ac:dyDescent="0.2">
      <c r="A8">
        <f t="shared" si="0"/>
        <v>1.1807715190024419</v>
      </c>
      <c r="C8" t="s">
        <v>2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100</v>
      </c>
      <c r="L8">
        <v>100</v>
      </c>
      <c r="M8">
        <v>100</v>
      </c>
    </row>
    <row r="9" spans="1:13" x14ac:dyDescent="0.2">
      <c r="A9">
        <f t="shared" si="0"/>
        <v>-1.1216452330423849</v>
      </c>
      <c r="C9" t="s">
        <v>15</v>
      </c>
      <c r="D9">
        <f>Traj(D8,$D$2,$D$3,$D$4,$D$5)</f>
        <v>99.542426891720623</v>
      </c>
      <c r="E9">
        <f t="shared" ref="E9:M24" si="1">Traj(E8,$D$2,$D$3,$D$4,$D$5)</f>
        <v>100.66733572971958</v>
      </c>
      <c r="F9">
        <f t="shared" si="1"/>
        <v>100.93176653269151</v>
      </c>
      <c r="G9">
        <f t="shared" si="1"/>
        <v>98.876864051580341</v>
      </c>
      <c r="H9">
        <f t="shared" si="1"/>
        <v>102.6794103617886</v>
      </c>
      <c r="I9">
        <f t="shared" si="1"/>
        <v>100.96805902464934</v>
      </c>
      <c r="J9">
        <f t="shared" si="1"/>
        <v>102.60889743523593</v>
      </c>
      <c r="K9">
        <f t="shared" si="1"/>
        <v>98.091537244312221</v>
      </c>
      <c r="L9">
        <f t="shared" si="1"/>
        <v>101.49384540168785</v>
      </c>
      <c r="M9">
        <f t="shared" si="1"/>
        <v>100.52936522084286</v>
      </c>
    </row>
    <row r="10" spans="1:13" x14ac:dyDescent="0.2">
      <c r="A10">
        <f t="shared" si="0"/>
        <v>-0.93203760927323087</v>
      </c>
      <c r="C10" t="s">
        <v>5</v>
      </c>
      <c r="D10">
        <f t="shared" ref="D10:G73" si="2">Traj(D9,$D$2,$D$3,$D$4,$D$5)</f>
        <v>100.55494194336008</v>
      </c>
      <c r="E10">
        <f t="shared" si="1"/>
        <v>101.61284285367125</v>
      </c>
      <c r="F10">
        <f t="shared" si="1"/>
        <v>99.715428456400403</v>
      </c>
      <c r="G10">
        <f t="shared" si="1"/>
        <v>96.697451111725613</v>
      </c>
      <c r="H10">
        <f t="shared" ref="H10:H73" si="3">Traj(H9,$D$2,$D$3,$D$4,$D$5)</f>
        <v>102.45440416319875</v>
      </c>
      <c r="I10">
        <f t="shared" ref="I10:I73" si="4">Traj(I9,$D$2,$D$3,$D$4,$D$5)</f>
        <v>101.14553503705996</v>
      </c>
      <c r="J10">
        <f t="shared" ref="J10:J73" si="5">Traj(J9,$D$2,$D$3,$D$4,$D$5)</f>
        <v>101.678461935897</v>
      </c>
      <c r="K10">
        <f t="shared" ref="K10:K73" si="6">Traj(K9,$D$2,$D$3,$D$4,$D$5)</f>
        <v>96.08969166612934</v>
      </c>
      <c r="L10">
        <f t="shared" ref="L10:L73" si="7">Traj(L9,$D$2,$D$3,$D$4,$D$5)</f>
        <v>103.40385894035951</v>
      </c>
      <c r="M10">
        <f t="shared" ref="M10:M73" si="8">Traj(M9,$D$2,$D$3,$D$4,$D$5)</f>
        <v>100.32221007616752</v>
      </c>
    </row>
    <row r="11" spans="1:13" x14ac:dyDescent="0.2">
      <c r="A11">
        <f t="shared" si="0"/>
        <v>-1.3995627306322467</v>
      </c>
      <c r="C11" t="s">
        <v>13</v>
      </c>
      <c r="D11">
        <f t="shared" si="2"/>
        <v>99.713974384380748</v>
      </c>
      <c r="E11">
        <f t="shared" si="1"/>
        <v>101.62396487948486</v>
      </c>
      <c r="F11">
        <f t="shared" si="1"/>
        <v>98.099535723308804</v>
      </c>
      <c r="G11">
        <f t="shared" si="1"/>
        <v>95.949684425670185</v>
      </c>
      <c r="H11">
        <f t="shared" si="3"/>
        <v>102.99478527537097</v>
      </c>
      <c r="I11">
        <f t="shared" si="4"/>
        <v>99.771405988228295</v>
      </c>
      <c r="J11">
        <f t="shared" si="5"/>
        <v>102.54645358658746</v>
      </c>
      <c r="K11">
        <f t="shared" si="6"/>
        <v>95.346686005166092</v>
      </c>
      <c r="L11">
        <f t="shared" si="7"/>
        <v>103.03897441536705</v>
      </c>
      <c r="M11">
        <f t="shared" si="8"/>
        <v>99.436474533093673</v>
      </c>
    </row>
    <row r="12" spans="1:13" x14ac:dyDescent="0.2">
      <c r="A12">
        <f t="shared" si="0"/>
        <v>0.68694157878855722</v>
      </c>
      <c r="C12" t="s">
        <v>14</v>
      </c>
      <c r="D12">
        <f>Traj(D11,$D$2,$D$3,$D$4,$D$5)</f>
        <v>100.42463773117804</v>
      </c>
      <c r="E12">
        <f t="shared" si="1"/>
        <v>103.21763853536943</v>
      </c>
      <c r="F12">
        <f t="shared" si="1"/>
        <v>97.7109366406888</v>
      </c>
      <c r="G12">
        <f t="shared" si="1"/>
        <v>95.804017188696093</v>
      </c>
      <c r="H12">
        <f t="shared" si="3"/>
        <v>101.40525372684775</v>
      </c>
      <c r="I12">
        <f t="shared" si="4"/>
        <v>100.15477570125638</v>
      </c>
      <c r="J12">
        <f t="shared" si="5"/>
        <v>101.86376894552134</v>
      </c>
      <c r="K12">
        <f t="shared" si="6"/>
        <v>94.615189521756534</v>
      </c>
      <c r="L12">
        <f t="shared" si="7"/>
        <v>101.69914350507769</v>
      </c>
      <c r="M12">
        <f t="shared" si="8"/>
        <v>100.52157308918086</v>
      </c>
    </row>
    <row r="13" spans="1:13" x14ac:dyDescent="0.2">
      <c r="A13">
        <f t="shared" si="0"/>
        <v>-0.60565697342597269</v>
      </c>
      <c r="D13">
        <f t="shared" si="2"/>
        <v>99.075330672632163</v>
      </c>
      <c r="E13">
        <f t="shared" si="1"/>
        <v>100.7483948193459</v>
      </c>
      <c r="F13">
        <f t="shared" si="1"/>
        <v>97.59204737501814</v>
      </c>
      <c r="G13">
        <f t="shared" si="1"/>
        <v>94.461711933618275</v>
      </c>
      <c r="H13">
        <f t="shared" si="3"/>
        <v>103.16812390693545</v>
      </c>
      <c r="I13">
        <f t="shared" si="4"/>
        <v>101.67738355465157</v>
      </c>
      <c r="J13">
        <f t="shared" si="5"/>
        <v>101.11402634174365</v>
      </c>
      <c r="K13">
        <f t="shared" si="6"/>
        <v>92.741448574869054</v>
      </c>
      <c r="L13">
        <f t="shared" si="7"/>
        <v>102.82037707565226</v>
      </c>
      <c r="M13">
        <f t="shared" si="8"/>
        <v>99.306744368710369</v>
      </c>
    </row>
    <row r="14" spans="1:13" x14ac:dyDescent="0.2">
      <c r="A14">
        <f t="shared" si="0"/>
        <v>-9.2168636036567025E-2</v>
      </c>
      <c r="D14">
        <f t="shared" si="2"/>
        <v>98.321669160137873</v>
      </c>
      <c r="E14">
        <f t="shared" si="1"/>
        <v>101.910846338713</v>
      </c>
      <c r="F14">
        <f t="shared" si="1"/>
        <v>98.709459151417008</v>
      </c>
      <c r="G14">
        <f t="shared" si="1"/>
        <v>95.172421617504952</v>
      </c>
      <c r="H14">
        <f t="shared" si="3"/>
        <v>105.01068594031362</v>
      </c>
      <c r="I14">
        <f t="shared" si="4"/>
        <v>103.10769538297731</v>
      </c>
      <c r="J14">
        <f t="shared" si="5"/>
        <v>100.42435283005493</v>
      </c>
      <c r="K14">
        <f t="shared" si="6"/>
        <v>90.891476822203984</v>
      </c>
      <c r="L14">
        <f t="shared" si="7"/>
        <v>101.04302518616511</v>
      </c>
      <c r="M14">
        <f t="shared" si="8"/>
        <v>99.508064052861087</v>
      </c>
    </row>
    <row r="15" spans="1:13" x14ac:dyDescent="0.2">
      <c r="A15">
        <f t="shared" si="0"/>
        <v>-1.2002677828557464</v>
      </c>
      <c r="D15">
        <f t="shared" si="2"/>
        <v>99.511023556929842</v>
      </c>
      <c r="E15">
        <f t="shared" si="1"/>
        <v>102.19259836374636</v>
      </c>
      <c r="F15">
        <f t="shared" si="1"/>
        <v>98.377855575314612</v>
      </c>
      <c r="G15">
        <f t="shared" si="1"/>
        <v>93.95207142125237</v>
      </c>
      <c r="H15">
        <f t="shared" si="3"/>
        <v>105.7753254785672</v>
      </c>
      <c r="I15">
        <f t="shared" si="4"/>
        <v>102.29263707773056</v>
      </c>
      <c r="J15">
        <f t="shared" si="5"/>
        <v>100.64225469717221</v>
      </c>
      <c r="K15">
        <f t="shared" si="6"/>
        <v>91.091179099286094</v>
      </c>
      <c r="L15">
        <f t="shared" si="7"/>
        <v>101.53612155959281</v>
      </c>
      <c r="M15">
        <f t="shared" si="8"/>
        <v>99.545703895008202</v>
      </c>
    </row>
    <row r="16" spans="1:13" x14ac:dyDescent="0.2">
      <c r="A16">
        <f t="shared" si="0"/>
        <v>-0.85065076913404891</v>
      </c>
      <c r="D16">
        <f t="shared" si="2"/>
        <v>96.299940603293706</v>
      </c>
      <c r="E16">
        <f t="shared" si="1"/>
        <v>102.66506270583648</v>
      </c>
      <c r="F16">
        <f t="shared" si="1"/>
        <v>97.913819363834605</v>
      </c>
      <c r="G16">
        <f t="shared" si="1"/>
        <v>92.866613945422841</v>
      </c>
      <c r="H16">
        <f t="shared" si="3"/>
        <v>106.40217288558556</v>
      </c>
      <c r="I16">
        <f t="shared" si="4"/>
        <v>103.01345747025506</v>
      </c>
      <c r="J16">
        <f t="shared" si="5"/>
        <v>101.22365077914981</v>
      </c>
      <c r="K16">
        <f t="shared" si="6"/>
        <v>90.84913405164086</v>
      </c>
      <c r="L16">
        <f t="shared" si="7"/>
        <v>102.30906192002362</v>
      </c>
      <c r="M16">
        <f t="shared" si="8"/>
        <v>98.51752262085644</v>
      </c>
    </row>
    <row r="17" spans="1:13" x14ac:dyDescent="0.2">
      <c r="A17">
        <f t="shared" si="0"/>
        <v>-0.27812046443423416</v>
      </c>
      <c r="D17">
        <f t="shared" si="2"/>
        <v>97.405985027437652</v>
      </c>
      <c r="E17">
        <f t="shared" si="1"/>
        <v>103.00530039928032</v>
      </c>
      <c r="F17">
        <f t="shared" si="1"/>
        <v>98.603372530321593</v>
      </c>
      <c r="G17">
        <f t="shared" si="1"/>
        <v>93.200531195260623</v>
      </c>
      <c r="H17">
        <f t="shared" si="3"/>
        <v>106.66341040170833</v>
      </c>
      <c r="I17">
        <f t="shared" si="4"/>
        <v>102.37661203336738</v>
      </c>
      <c r="J17">
        <f t="shared" si="5"/>
        <v>100.17382334442856</v>
      </c>
      <c r="K17">
        <f t="shared" si="6"/>
        <v>91.183170241440706</v>
      </c>
      <c r="L17">
        <f t="shared" si="7"/>
        <v>102.10198928710081</v>
      </c>
      <c r="M17">
        <f t="shared" si="8"/>
        <v>97.482106201144148</v>
      </c>
    </row>
    <row r="18" spans="1:13" x14ac:dyDescent="0.2">
      <c r="A18">
        <f t="shared" si="0"/>
        <v>-0.54192379630307008</v>
      </c>
      <c r="D18">
        <f t="shared" si="2"/>
        <v>97.4489188189592</v>
      </c>
      <c r="E18">
        <f t="shared" si="1"/>
        <v>103.40071426087174</v>
      </c>
      <c r="F18">
        <f t="shared" si="1"/>
        <v>98.682642180119359</v>
      </c>
      <c r="G18">
        <f t="shared" si="1"/>
        <v>92.178944055558745</v>
      </c>
      <c r="H18">
        <f t="shared" si="3"/>
        <v>106.76078123220289</v>
      </c>
      <c r="I18">
        <f t="shared" si="4"/>
        <v>102.86575552115461</v>
      </c>
      <c r="J18">
        <f t="shared" si="5"/>
        <v>102.17972272627401</v>
      </c>
      <c r="K18">
        <f t="shared" si="6"/>
        <v>91.412528966506798</v>
      </c>
      <c r="L18">
        <f t="shared" si="7"/>
        <v>100.6500644545437</v>
      </c>
      <c r="M18">
        <f t="shared" si="8"/>
        <v>98.088805414632759</v>
      </c>
    </row>
    <row r="19" spans="1:13" x14ac:dyDescent="0.2">
      <c r="A19">
        <f t="shared" si="0"/>
        <v>1.9191824570424747</v>
      </c>
      <c r="D19">
        <f t="shared" si="2"/>
        <v>97.10301016606347</v>
      </c>
      <c r="E19">
        <f t="shared" si="1"/>
        <v>103.71736746545179</v>
      </c>
      <c r="F19">
        <f t="shared" si="1"/>
        <v>98.612810762964287</v>
      </c>
      <c r="G19">
        <f t="shared" si="1"/>
        <v>92.419608356735509</v>
      </c>
      <c r="H19">
        <f t="shared" si="3"/>
        <v>105.53459158285825</v>
      </c>
      <c r="I19">
        <f t="shared" si="4"/>
        <v>103.33838678653585</v>
      </c>
      <c r="J19">
        <f t="shared" si="5"/>
        <v>101.58553347346286</v>
      </c>
      <c r="K19">
        <f t="shared" si="6"/>
        <v>89.709379738531339</v>
      </c>
      <c r="L19">
        <f t="shared" si="7"/>
        <v>100.58682735718543</v>
      </c>
      <c r="M19">
        <f t="shared" si="8"/>
        <v>95.398422267112593</v>
      </c>
    </row>
    <row r="20" spans="1:13" x14ac:dyDescent="0.2">
      <c r="A20">
        <f t="shared" si="0"/>
        <v>-0.91133760090405236</v>
      </c>
      <c r="D20">
        <f t="shared" si="2"/>
        <v>96.52967943412915</v>
      </c>
      <c r="E20">
        <f t="shared" si="1"/>
        <v>104.58288929609401</v>
      </c>
      <c r="F20">
        <f t="shared" si="1"/>
        <v>100.57990636919314</v>
      </c>
      <c r="G20">
        <f t="shared" si="1"/>
        <v>91.601574426644817</v>
      </c>
      <c r="H20">
        <f t="shared" si="3"/>
        <v>106.36488451076713</v>
      </c>
      <c r="I20">
        <f t="shared" si="4"/>
        <v>106.28566249852997</v>
      </c>
      <c r="J20">
        <f t="shared" si="5"/>
        <v>101.20566398318296</v>
      </c>
      <c r="K20">
        <f t="shared" si="6"/>
        <v>90.576407696515744</v>
      </c>
      <c r="L20">
        <f t="shared" si="7"/>
        <v>100.65140429366072</v>
      </c>
      <c r="M20">
        <f t="shared" si="8"/>
        <v>93.94074160967331</v>
      </c>
    </row>
    <row r="21" spans="1:13" x14ac:dyDescent="0.2">
      <c r="A21">
        <f t="shared" si="0"/>
        <v>0.62155898168536483</v>
      </c>
      <c r="D21">
        <f t="shared" si="2"/>
        <v>95.52829965841309</v>
      </c>
      <c r="E21">
        <f t="shared" si="1"/>
        <v>105.21117766015209</v>
      </c>
      <c r="F21">
        <f t="shared" si="1"/>
        <v>101.29860119637888</v>
      </c>
      <c r="G21">
        <f t="shared" si="1"/>
        <v>90.182894430163643</v>
      </c>
      <c r="H21">
        <f>Traj(H20,$D$2,$D$3,$D$4,$D$5)</f>
        <v>106.78489333110218</v>
      </c>
      <c r="I21">
        <f t="shared" si="4"/>
        <v>105.60414515972307</v>
      </c>
      <c r="J21">
        <f t="shared" si="5"/>
        <v>98.883621017219056</v>
      </c>
      <c r="K21">
        <f t="shared" si="6"/>
        <v>90.992184960174214</v>
      </c>
      <c r="L21">
        <f t="shared" si="7"/>
        <v>103.53661786276861</v>
      </c>
      <c r="M21">
        <f t="shared" si="8"/>
        <v>95.014977014561509</v>
      </c>
    </row>
    <row r="22" spans="1:13" x14ac:dyDescent="0.2">
      <c r="A22">
        <f t="shared" si="0"/>
        <v>-0.89603949070485522</v>
      </c>
      <c r="D22">
        <f t="shared" si="2"/>
        <v>97.196313550024229</v>
      </c>
      <c r="E22">
        <f t="shared" si="1"/>
        <v>103.28299385788617</v>
      </c>
      <c r="F22">
        <f t="shared" si="1"/>
        <v>100.34364585113418</v>
      </c>
      <c r="G22">
        <f t="shared" si="1"/>
        <v>89.421621134104271</v>
      </c>
      <c r="H22">
        <f t="shared" si="3"/>
        <v>104.9756606886569</v>
      </c>
      <c r="I22">
        <f>Traj(I21,$D$2,$D$3,$D$4,$D$5)</f>
        <v>108.1662499899237</v>
      </c>
      <c r="J22">
        <f t="shared" si="5"/>
        <v>98.634327361753179</v>
      </c>
      <c r="K22">
        <f t="shared" si="6"/>
        <v>91.03985010998403</v>
      </c>
      <c r="L22">
        <f t="shared" si="7"/>
        <v>103.03433443246041</v>
      </c>
      <c r="M22">
        <f t="shared" si="8"/>
        <v>96.938783718964672</v>
      </c>
    </row>
    <row r="23" spans="1:13" x14ac:dyDescent="0.2">
      <c r="A23">
        <f t="shared" si="0"/>
        <v>-0.92976436100960735</v>
      </c>
      <c r="D23">
        <f t="shared" si="2"/>
        <v>96.746788101458066</v>
      </c>
      <c r="E23">
        <f t="shared" si="1"/>
        <v>104.82779946938173</v>
      </c>
      <c r="F23">
        <f t="shared" si="1"/>
        <v>101.02030561739517</v>
      </c>
      <c r="G23">
        <f t="shared" si="1"/>
        <v>91.143614630713486</v>
      </c>
      <c r="H23">
        <f t="shared" si="3"/>
        <v>102.64659062163973</v>
      </c>
      <c r="I23">
        <f t="shared" si="4"/>
        <v>107.73150161659862</v>
      </c>
      <c r="J23">
        <f t="shared" si="5"/>
        <v>97.379076474782195</v>
      </c>
      <c r="K23">
        <f t="shared" si="6"/>
        <v>89.505791248866245</v>
      </c>
      <c r="L23">
        <f t="shared" si="7"/>
        <v>104.19490111677075</v>
      </c>
      <c r="M23">
        <f t="shared" si="8"/>
        <v>95.769175570896138</v>
      </c>
    </row>
    <row r="24" spans="1:13" x14ac:dyDescent="0.2">
      <c r="A24">
        <f t="shared" si="0"/>
        <v>0.11898449685066496</v>
      </c>
      <c r="D24">
        <f t="shared" si="2"/>
        <v>97.829684880520162</v>
      </c>
      <c r="E24">
        <f t="shared" si="1"/>
        <v>105.21924391086283</v>
      </c>
      <c r="F24">
        <f t="shared" si="1"/>
        <v>102.58016924178447</v>
      </c>
      <c r="G24">
        <f t="shared" si="1"/>
        <v>90.520142673622658</v>
      </c>
      <c r="H24">
        <f t="shared" si="3"/>
        <v>102.67950513576814</v>
      </c>
      <c r="I24">
        <f t="shared" si="4"/>
        <v>106.15129596986017</v>
      </c>
      <c r="J24">
        <f t="shared" si="5"/>
        <v>95.884991007498485</v>
      </c>
      <c r="K24">
        <f t="shared" si="6"/>
        <v>90.174155313736421</v>
      </c>
      <c r="L24">
        <f t="shared" si="7"/>
        <v>104.86187764480908</v>
      </c>
      <c r="M24">
        <f t="shared" si="8"/>
        <v>95.350838911992838</v>
      </c>
    </row>
    <row r="25" spans="1:13" x14ac:dyDescent="0.2">
      <c r="A25">
        <f t="shared" si="0"/>
        <v>0.8496483997519344</v>
      </c>
      <c r="D25">
        <f t="shared" si="2"/>
        <v>96.808631954597274</v>
      </c>
      <c r="E25">
        <f t="shared" si="2"/>
        <v>107.42921781834862</v>
      </c>
      <c r="F25">
        <f t="shared" si="2"/>
        <v>101.04646100661654</v>
      </c>
      <c r="G25">
        <f t="shared" si="2"/>
        <v>90.488725030266124</v>
      </c>
      <c r="H25">
        <f t="shared" si="3"/>
        <v>103.64689340337556</v>
      </c>
      <c r="I25">
        <f t="shared" si="4"/>
        <v>106.1597938173645</v>
      </c>
      <c r="J25">
        <f t="shared" si="5"/>
        <v>94.336719644855407</v>
      </c>
      <c r="K25">
        <f t="shared" si="6"/>
        <v>89.406657345070883</v>
      </c>
      <c r="L25">
        <f t="shared" si="7"/>
        <v>105.2181006377423</v>
      </c>
      <c r="M25">
        <f t="shared" si="8"/>
        <v>94.948900274328267</v>
      </c>
    </row>
    <row r="26" spans="1:13" x14ac:dyDescent="0.2">
      <c r="A26">
        <f t="shared" si="0"/>
        <v>-1.4464539315091898</v>
      </c>
      <c r="D26">
        <f t="shared" si="2"/>
        <v>96.437719470973207</v>
      </c>
      <c r="E26">
        <f t="shared" si="2"/>
        <v>105.58547927519776</v>
      </c>
      <c r="F26">
        <f t="shared" si="2"/>
        <v>101.15053098831335</v>
      </c>
      <c r="G26">
        <f t="shared" si="2"/>
        <v>91.662978807549578</v>
      </c>
      <c r="H26">
        <f t="shared" si="3"/>
        <v>102.88483748672189</v>
      </c>
      <c r="I26">
        <f t="shared" si="4"/>
        <v>106.65303718722171</v>
      </c>
      <c r="J26">
        <f t="shared" si="5"/>
        <v>95.307105799334238</v>
      </c>
      <c r="K26">
        <f t="shared" si="6"/>
        <v>88.751912412669284</v>
      </c>
      <c r="L26">
        <f t="shared" si="7"/>
        <v>104.69333080353023</v>
      </c>
      <c r="M26">
        <f t="shared" si="8"/>
        <v>91.987357058370662</v>
      </c>
    </row>
    <row r="27" spans="1:13" x14ac:dyDescent="0.2">
      <c r="A27">
        <f t="shared" si="0"/>
        <v>0.3488420310332277</v>
      </c>
      <c r="D27">
        <f t="shared" si="2"/>
        <v>97.544548380498469</v>
      </c>
      <c r="E27">
        <f t="shared" si="2"/>
        <v>104.16072212750063</v>
      </c>
      <c r="F27">
        <f t="shared" si="2"/>
        <v>102.16750967758625</v>
      </c>
      <c r="G27">
        <f t="shared" si="2"/>
        <v>90.665737093966186</v>
      </c>
      <c r="H27">
        <f t="shared" si="3"/>
        <v>102.48163278303818</v>
      </c>
      <c r="I27">
        <f t="shared" si="4"/>
        <v>105.55289196842756</v>
      </c>
      <c r="J27">
        <f t="shared" si="5"/>
        <v>96.971465362146134</v>
      </c>
      <c r="K27">
        <f t="shared" si="6"/>
        <v>88.698314491346551</v>
      </c>
      <c r="L27">
        <f t="shared" si="7"/>
        <v>103.8989225651893</v>
      </c>
      <c r="M27">
        <f t="shared" si="8"/>
        <v>89.913985405312445</v>
      </c>
    </row>
    <row r="28" spans="1:13" x14ac:dyDescent="0.2">
      <c r="A28">
        <f t="shared" si="0"/>
        <v>0.44352193268920498</v>
      </c>
      <c r="D28">
        <f t="shared" si="2"/>
        <v>96.175431865053795</v>
      </c>
      <c r="E28">
        <f t="shared" si="2"/>
        <v>102.14732059007406</v>
      </c>
      <c r="F28">
        <f t="shared" si="2"/>
        <v>102.42079558021521</v>
      </c>
      <c r="G28">
        <f t="shared" si="2"/>
        <v>91.021291019571933</v>
      </c>
      <c r="H28">
        <f t="shared" si="3"/>
        <v>102.06070271921192</v>
      </c>
      <c r="I28">
        <f t="shared" si="4"/>
        <v>105.69634957399744</v>
      </c>
      <c r="J28">
        <f t="shared" si="5"/>
        <v>98.775781936156491</v>
      </c>
      <c r="K28">
        <f t="shared" si="6"/>
        <v>87.839203283895102</v>
      </c>
      <c r="L28">
        <f t="shared" si="7"/>
        <v>105.51028598255218</v>
      </c>
      <c r="M28">
        <f t="shared" si="8"/>
        <v>92.377782349370804</v>
      </c>
    </row>
    <row r="29" spans="1:13" x14ac:dyDescent="0.2">
      <c r="A29">
        <f t="shared" si="0"/>
        <v>-4.2434407082765004E-2</v>
      </c>
      <c r="D29">
        <f t="shared" si="2"/>
        <v>96.799845488631632</v>
      </c>
      <c r="E29">
        <f t="shared" si="2"/>
        <v>102.64645563049976</v>
      </c>
      <c r="F29">
        <f t="shared" si="2"/>
        <v>102.45439993830412</v>
      </c>
      <c r="G29">
        <f t="shared" si="2"/>
        <v>90.435545658587202</v>
      </c>
      <c r="H29">
        <f t="shared" si="3"/>
        <v>101.32643621279065</v>
      </c>
      <c r="I29">
        <f t="shared" si="4"/>
        <v>104.59146878939049</v>
      </c>
      <c r="J29">
        <f t="shared" si="5"/>
        <v>99.099363446943741</v>
      </c>
      <c r="K29">
        <f t="shared" si="6"/>
        <v>87.686656423603068</v>
      </c>
      <c r="L29">
        <f t="shared" si="7"/>
        <v>105.12599870757246</v>
      </c>
      <c r="M29">
        <f t="shared" si="8"/>
        <v>94.014332271722637</v>
      </c>
    </row>
    <row r="30" spans="1:13" x14ac:dyDescent="0.2">
      <c r="A30">
        <f t="shared" si="0"/>
        <v>-0.44452247713393894</v>
      </c>
      <c r="D30">
        <f t="shared" si="2"/>
        <v>95.96798321388745</v>
      </c>
      <c r="E30">
        <f t="shared" si="2"/>
        <v>101.9433179063865</v>
      </c>
      <c r="F30">
        <f t="shared" si="2"/>
        <v>100.77141271921241</v>
      </c>
      <c r="G30">
        <f t="shared" si="2"/>
        <v>90.499341589968878</v>
      </c>
      <c r="H30">
        <f t="shared" si="3"/>
        <v>103.27401331760937</v>
      </c>
      <c r="I30">
        <f t="shared" si="4"/>
        <v>105.26239985574324</v>
      </c>
      <c r="J30">
        <f t="shared" si="5"/>
        <v>97.294367692107045</v>
      </c>
      <c r="K30">
        <f t="shared" si="6"/>
        <v>88.446040524516505</v>
      </c>
      <c r="L30">
        <f t="shared" si="7"/>
        <v>107.158706420922</v>
      </c>
      <c r="M30">
        <f t="shared" si="8"/>
        <v>91.471327423581855</v>
      </c>
    </row>
    <row r="31" spans="1:13" x14ac:dyDescent="0.2">
      <c r="A31">
        <f t="shared" si="0"/>
        <v>0.72690529790694736</v>
      </c>
      <c r="D31">
        <f t="shared" si="2"/>
        <v>98.47144473615046</v>
      </c>
      <c r="E31">
        <f t="shared" si="2"/>
        <v>101.51707903123049</v>
      </c>
      <c r="F31">
        <f t="shared" si="2"/>
        <v>99.568238724445521</v>
      </c>
      <c r="G31">
        <f t="shared" si="2"/>
        <v>89.367074304504996</v>
      </c>
      <c r="H31">
        <f t="shared" si="3"/>
        <v>102.00147804641452</v>
      </c>
      <c r="I31">
        <f t="shared" si="4"/>
        <v>105.07091848835024</v>
      </c>
      <c r="J31">
        <f t="shared" si="5"/>
        <v>98.775137061121058</v>
      </c>
      <c r="K31">
        <f t="shared" si="6"/>
        <v>88.743865821860055</v>
      </c>
      <c r="L31">
        <f t="shared" si="7"/>
        <v>105.68111285805567</v>
      </c>
      <c r="M31">
        <f t="shared" si="8"/>
        <v>90.458712950281779</v>
      </c>
    </row>
    <row r="32" spans="1:13" x14ac:dyDescent="0.2">
      <c r="A32">
        <f t="shared" si="0"/>
        <v>-2.2838562796113369</v>
      </c>
      <c r="D32">
        <f t="shared" si="2"/>
        <v>101.62068663135483</v>
      </c>
      <c r="E32">
        <f t="shared" si="2"/>
        <v>100.45877609128122</v>
      </c>
      <c r="F32">
        <f t="shared" si="2"/>
        <v>101.26080145632298</v>
      </c>
      <c r="G32">
        <f t="shared" si="2"/>
        <v>88.162544611858593</v>
      </c>
      <c r="H32">
        <f t="shared" si="3"/>
        <v>101.8305211962146</v>
      </c>
      <c r="I32">
        <f t="shared" si="4"/>
        <v>106.57140020873905</v>
      </c>
      <c r="J32">
        <f t="shared" si="5"/>
        <v>98.488117970822984</v>
      </c>
      <c r="K32">
        <f t="shared" si="6"/>
        <v>88.068048298213114</v>
      </c>
      <c r="L32">
        <f t="shared" si="7"/>
        <v>105.90132375314349</v>
      </c>
      <c r="M32">
        <f t="shared" si="8"/>
        <v>89.48528690355532</v>
      </c>
    </row>
    <row r="33" spans="1:13" x14ac:dyDescent="0.2">
      <c r="A33">
        <f t="shared" si="0"/>
        <v>-1.0420499475484146</v>
      </c>
      <c r="D33">
        <f t="shared" si="2"/>
        <v>102.77565590219309</v>
      </c>
      <c r="E33">
        <f t="shared" si="2"/>
        <v>100.08580541858952</v>
      </c>
      <c r="F33">
        <f t="shared" si="2"/>
        <v>101.65541886778072</v>
      </c>
      <c r="G33">
        <f t="shared" si="2"/>
        <v>89.484782517195725</v>
      </c>
      <c r="H33">
        <f t="shared" si="3"/>
        <v>101.93296469267558</v>
      </c>
      <c r="I33">
        <f t="shared" si="4"/>
        <v>107.98853334871346</v>
      </c>
      <c r="J33">
        <f t="shared" si="5"/>
        <v>99.901279087650494</v>
      </c>
      <c r="K33">
        <f t="shared" si="6"/>
        <v>86.81402394866177</v>
      </c>
      <c r="L33">
        <f t="shared" si="7"/>
        <v>105.04655731016121</v>
      </c>
      <c r="M33">
        <f t="shared" si="8"/>
        <v>89.908888014728319</v>
      </c>
    </row>
    <row r="34" spans="1:13" x14ac:dyDescent="0.2">
      <c r="A34">
        <f t="shared" si="0"/>
        <v>8.1309016394471259E-2</v>
      </c>
      <c r="D34">
        <f t="shared" si="2"/>
        <v>103.08753474008215</v>
      </c>
      <c r="E34">
        <f t="shared" si="2"/>
        <v>101.71078973974512</v>
      </c>
      <c r="F34">
        <f t="shared" si="2"/>
        <v>101.90930329800253</v>
      </c>
      <c r="G34">
        <f t="shared" si="2"/>
        <v>88.200729467521413</v>
      </c>
      <c r="H34">
        <f t="shared" si="3"/>
        <v>100.73756632576327</v>
      </c>
      <c r="I34">
        <f t="shared" si="4"/>
        <v>108.41504225833643</v>
      </c>
      <c r="J34">
        <f t="shared" si="5"/>
        <v>99.663399538866358</v>
      </c>
      <c r="K34">
        <f t="shared" si="6"/>
        <v>87.325637805308091</v>
      </c>
      <c r="L34">
        <f t="shared" si="7"/>
        <v>104.47648461729889</v>
      </c>
      <c r="M34">
        <f t="shared" si="8"/>
        <v>88.767132857344563</v>
      </c>
    </row>
    <row r="35" spans="1:13" x14ac:dyDescent="0.2">
      <c r="A35">
        <f t="shared" si="0"/>
        <v>-0.43687933076414698</v>
      </c>
      <c r="D35">
        <f t="shared" si="2"/>
        <v>105.66957767469196</v>
      </c>
      <c r="E35">
        <f t="shared" si="2"/>
        <v>104.29788648195949</v>
      </c>
      <c r="F35">
        <f t="shared" si="2"/>
        <v>101.86116349732558</v>
      </c>
      <c r="G35">
        <f t="shared" si="2"/>
        <v>86.506751989805082</v>
      </c>
      <c r="H35">
        <f t="shared" si="3"/>
        <v>99.525311189519698</v>
      </c>
      <c r="I35">
        <f t="shared" si="4"/>
        <v>110.33573047767719</v>
      </c>
      <c r="J35">
        <f t="shared" si="5"/>
        <v>100.56870317996705</v>
      </c>
      <c r="K35">
        <f t="shared" si="6"/>
        <v>86.191533379055997</v>
      </c>
      <c r="L35">
        <f t="shared" si="7"/>
        <v>102.80833569481123</v>
      </c>
      <c r="M35">
        <f t="shared" si="8"/>
        <v>88.340900035606296</v>
      </c>
    </row>
    <row r="36" spans="1:13" x14ac:dyDescent="0.2">
      <c r="A36">
        <f t="shared" si="0"/>
        <v>-0.29660542851108151</v>
      </c>
      <c r="D36">
        <f t="shared" si="2"/>
        <v>107.19931956415202</v>
      </c>
      <c r="E36">
        <f t="shared" si="2"/>
        <v>104.19078949100208</v>
      </c>
      <c r="F36">
        <f t="shared" si="2"/>
        <v>100.99044200603646</v>
      </c>
      <c r="G36">
        <f t="shared" si="2"/>
        <v>86.844152301669411</v>
      </c>
      <c r="H36">
        <f t="shared" si="3"/>
        <v>98.874334788032129</v>
      </c>
      <c r="I36">
        <f t="shared" si="4"/>
        <v>109.44668131828</v>
      </c>
      <c r="J36">
        <f t="shared" si="5"/>
        <v>100.657640821887</v>
      </c>
      <c r="K36">
        <f t="shared" si="6"/>
        <v>86.803007835830414</v>
      </c>
      <c r="L36">
        <f t="shared" si="7"/>
        <v>103.2470866325678</v>
      </c>
      <c r="M36">
        <f t="shared" si="8"/>
        <v>88.032132990806559</v>
      </c>
    </row>
    <row r="37" spans="1:13" x14ac:dyDescent="0.2">
      <c r="A37">
        <f t="shared" si="0"/>
        <v>0.29818593230129675</v>
      </c>
      <c r="D37">
        <f t="shared" si="2"/>
        <v>104.14849117570215</v>
      </c>
      <c r="E37">
        <f t="shared" si="2"/>
        <v>103.62050750961151</v>
      </c>
      <c r="F37">
        <f t="shared" si="2"/>
        <v>100.49294810598676</v>
      </c>
      <c r="G37">
        <f t="shared" si="2"/>
        <v>85.395103713102827</v>
      </c>
      <c r="H37">
        <f t="shared" si="3"/>
        <v>97.900244670046675</v>
      </c>
      <c r="I37">
        <f t="shared" si="4"/>
        <v>109.75011678083422</v>
      </c>
      <c r="J37">
        <f t="shared" si="5"/>
        <v>100.64445290234907</v>
      </c>
      <c r="K37">
        <f t="shared" si="6"/>
        <v>87.652177332974901</v>
      </c>
      <c r="L37">
        <f t="shared" si="7"/>
        <v>103.13843680957261</v>
      </c>
      <c r="M37">
        <f t="shared" si="8"/>
        <v>86.754218237538637</v>
      </c>
    </row>
    <row r="38" spans="1:13" x14ac:dyDescent="0.2">
      <c r="A38">
        <f t="shared" si="0"/>
        <v>0.12725489774666349</v>
      </c>
      <c r="D38">
        <f t="shared" si="2"/>
        <v>105.74270285130785</v>
      </c>
      <c r="E38">
        <f t="shared" si="2"/>
        <v>105.02765237882279</v>
      </c>
      <c r="F38">
        <f t="shared" si="2"/>
        <v>100.19684550938777</v>
      </c>
      <c r="G38">
        <f t="shared" si="2"/>
        <v>85.30558961980212</v>
      </c>
      <c r="H38">
        <f t="shared" si="3"/>
        <v>97.504029081351661</v>
      </c>
      <c r="I38">
        <f t="shared" si="4"/>
        <v>110.9846661288321</v>
      </c>
      <c r="J38">
        <f t="shared" si="5"/>
        <v>100.38383553945827</v>
      </c>
      <c r="K38">
        <f t="shared" si="6"/>
        <v>86.809525150913558</v>
      </c>
      <c r="L38">
        <f t="shared" si="7"/>
        <v>101.80060173846024</v>
      </c>
      <c r="M38">
        <f t="shared" si="8"/>
        <v>86.485265399053816</v>
      </c>
    </row>
    <row r="39" spans="1:13" x14ac:dyDescent="0.2">
      <c r="A39">
        <f t="shared" si="0"/>
        <v>0.4542178663373358</v>
      </c>
      <c r="D39">
        <f t="shared" si="2"/>
        <v>104.01364859999359</v>
      </c>
      <c r="E39">
        <f t="shared" si="2"/>
        <v>105.3220611811665</v>
      </c>
      <c r="F39">
        <f t="shared" si="2"/>
        <v>99.038877518138023</v>
      </c>
      <c r="G39">
        <f t="shared" si="2"/>
        <v>84.721181698888913</v>
      </c>
      <c r="H39">
        <f t="shared" si="3"/>
        <v>97.587369758403625</v>
      </c>
      <c r="I39">
        <f t="shared" si="4"/>
        <v>110.3753841304549</v>
      </c>
      <c r="J39">
        <f t="shared" si="5"/>
        <v>99.763939538312442</v>
      </c>
      <c r="K39">
        <f t="shared" si="6"/>
        <v>89.196269763972822</v>
      </c>
      <c r="L39">
        <f t="shared" si="7"/>
        <v>103.54657361953591</v>
      </c>
      <c r="M39">
        <f t="shared" si="8"/>
        <v>85.829150363001972</v>
      </c>
    </row>
    <row r="40" spans="1:13" x14ac:dyDescent="0.2">
      <c r="D40">
        <f t="shared" si="2"/>
        <v>106.03449074280788</v>
      </c>
      <c r="E40">
        <f t="shared" si="2"/>
        <v>109.80530397173523</v>
      </c>
      <c r="F40">
        <f t="shared" si="2"/>
        <v>100.19256824937375</v>
      </c>
      <c r="G40">
        <f t="shared" si="2"/>
        <v>84.435474318529856</v>
      </c>
      <c r="H40">
        <f t="shared" si="3"/>
        <v>97.188188953596679</v>
      </c>
      <c r="I40">
        <f t="shared" si="4"/>
        <v>110.09315106220858</v>
      </c>
      <c r="J40">
        <f t="shared" si="5"/>
        <v>101.96345456849484</v>
      </c>
      <c r="K40">
        <f t="shared" si="6"/>
        <v>88.462373100001741</v>
      </c>
      <c r="L40">
        <f t="shared" si="7"/>
        <v>102.67423465850587</v>
      </c>
      <c r="M40">
        <f t="shared" si="8"/>
        <v>84.907631799935672</v>
      </c>
    </row>
    <row r="41" spans="1:13" x14ac:dyDescent="0.2">
      <c r="D41">
        <f t="shared" si="2"/>
        <v>104.2622700317547</v>
      </c>
      <c r="E41">
        <f t="shared" si="2"/>
        <v>109.69305997152196</v>
      </c>
      <c r="F41">
        <f t="shared" si="2"/>
        <v>102.12288781722818</v>
      </c>
      <c r="G41">
        <f t="shared" si="2"/>
        <v>84.802799030224833</v>
      </c>
      <c r="H41">
        <f t="shared" si="3"/>
        <v>98.264513463923791</v>
      </c>
      <c r="I41">
        <f t="shared" si="4"/>
        <v>111.8136339927389</v>
      </c>
      <c r="J41">
        <f t="shared" si="5"/>
        <v>101.15388365374336</v>
      </c>
      <c r="K41">
        <f t="shared" si="6"/>
        <v>87.650546684767193</v>
      </c>
      <c r="L41">
        <f t="shared" si="7"/>
        <v>102.06201101149203</v>
      </c>
      <c r="M41">
        <f t="shared" si="8"/>
        <v>85.226936808854973</v>
      </c>
    </row>
    <row r="42" spans="1:13" x14ac:dyDescent="0.2">
      <c r="D42">
        <f t="shared" si="2"/>
        <v>106.22857192348033</v>
      </c>
      <c r="E42">
        <f t="shared" si="2"/>
        <v>110.97591652278808</v>
      </c>
      <c r="F42">
        <f t="shared" si="2"/>
        <v>99.940953934925886</v>
      </c>
      <c r="G42">
        <f t="shared" si="2"/>
        <v>85.039211772635795</v>
      </c>
      <c r="H42">
        <f t="shared" si="3"/>
        <v>98.334101973377471</v>
      </c>
      <c r="I42">
        <f t="shared" si="4"/>
        <v>111.2269954998648</v>
      </c>
      <c r="J42">
        <f t="shared" si="5"/>
        <v>103.72422376993472</v>
      </c>
      <c r="K42">
        <f t="shared" si="6"/>
        <v>87.762811466189092</v>
      </c>
      <c r="L42">
        <f t="shared" si="7"/>
        <v>104.3722326209663</v>
      </c>
      <c r="M42">
        <f t="shared" si="8"/>
        <v>83.143501860354604</v>
      </c>
    </row>
    <row r="43" spans="1:13" x14ac:dyDescent="0.2">
      <c r="D43">
        <f t="shared" si="2"/>
        <v>106.2200389101029</v>
      </c>
      <c r="E43">
        <f t="shared" si="2"/>
        <v>110.39328373031192</v>
      </c>
      <c r="F43">
        <f t="shared" si="2"/>
        <v>100.4541916448145</v>
      </c>
      <c r="G43">
        <f t="shared" si="2"/>
        <v>85.115820833104806</v>
      </c>
      <c r="H43">
        <f t="shared" si="3"/>
        <v>98.866513936879969</v>
      </c>
      <c r="I43">
        <f t="shared" si="4"/>
        <v>111.60206984411947</v>
      </c>
      <c r="J43">
        <f t="shared" si="5"/>
        <v>103.17099545641655</v>
      </c>
      <c r="K43">
        <f t="shared" si="6"/>
        <v>89.328515299026009</v>
      </c>
      <c r="L43">
        <f t="shared" si="7"/>
        <v>103.9417594449102</v>
      </c>
      <c r="M43">
        <f t="shared" si="8"/>
        <v>83.669030987198369</v>
      </c>
    </row>
    <row r="44" spans="1:13" x14ac:dyDescent="0.2">
      <c r="D44">
        <f t="shared" si="2"/>
        <v>109.40579848287456</v>
      </c>
      <c r="E44">
        <f t="shared" si="2"/>
        <v>110.8907343991568</v>
      </c>
      <c r="F44">
        <f t="shared" si="2"/>
        <v>101.26819078019129</v>
      </c>
      <c r="G44">
        <f t="shared" si="2"/>
        <v>85.856838429118724</v>
      </c>
      <c r="H44">
        <f t="shared" si="3"/>
        <v>98.791775574061077</v>
      </c>
      <c r="I44">
        <f t="shared" si="4"/>
        <v>113.22428392202988</v>
      </c>
      <c r="J44">
        <f t="shared" si="5"/>
        <v>101.4597483125735</v>
      </c>
      <c r="K44">
        <f t="shared" si="6"/>
        <v>90.282404747704334</v>
      </c>
      <c r="L44">
        <f t="shared" si="7"/>
        <v>105.56655809109428</v>
      </c>
      <c r="M44">
        <f t="shared" si="8"/>
        <v>84.314608264219586</v>
      </c>
    </row>
    <row r="45" spans="1:13" x14ac:dyDescent="0.2">
      <c r="D45">
        <f t="shared" si="2"/>
        <v>108.58561198363802</v>
      </c>
      <c r="E45">
        <f t="shared" si="2"/>
        <v>110.63166020321165</v>
      </c>
      <c r="F45">
        <f t="shared" si="2"/>
        <v>100.51059790144245</v>
      </c>
      <c r="G45">
        <f t="shared" si="2"/>
        <v>85.985308297794944</v>
      </c>
      <c r="H45">
        <f t="shared" si="3"/>
        <v>97.906797886200678</v>
      </c>
      <c r="I45">
        <f t="shared" si="4"/>
        <v>113.01556255161475</v>
      </c>
      <c r="J45">
        <f t="shared" si="5"/>
        <v>101.5468648581701</v>
      </c>
      <c r="K45">
        <f t="shared" si="6"/>
        <v>90.949024365209453</v>
      </c>
      <c r="L45">
        <f t="shared" si="7"/>
        <v>106.60299941300465</v>
      </c>
      <c r="M45">
        <f t="shared" si="8"/>
        <v>83.361308267825322</v>
      </c>
    </row>
    <row r="46" spans="1:13" x14ac:dyDescent="0.2">
      <c r="D46">
        <f t="shared" si="2"/>
        <v>106.20876338214147</v>
      </c>
      <c r="E46">
        <f t="shared" si="2"/>
        <v>111.39185430536402</v>
      </c>
      <c r="F46">
        <f t="shared" si="2"/>
        <v>98.501364095828535</v>
      </c>
      <c r="G46">
        <f t="shared" si="2"/>
        <v>84.118932955205196</v>
      </c>
      <c r="H46">
        <f t="shared" si="3"/>
        <v>97.118074086281538</v>
      </c>
      <c r="I46">
        <f t="shared" si="4"/>
        <v>111.1051244974404</v>
      </c>
      <c r="J46">
        <f t="shared" si="5"/>
        <v>101.40743887345027</v>
      </c>
      <c r="K46">
        <f t="shared" si="6"/>
        <v>92.19294686315007</v>
      </c>
      <c r="L46">
        <f t="shared" si="7"/>
        <v>106.39638231877312</v>
      </c>
      <c r="M46">
        <f t="shared" si="8"/>
        <v>81.247408792747521</v>
      </c>
    </row>
    <row r="47" spans="1:13" x14ac:dyDescent="0.2">
      <c r="D47">
        <f t="shared" si="2"/>
        <v>106.05324858187809</v>
      </c>
      <c r="E47">
        <f t="shared" si="2"/>
        <v>109.43104303768</v>
      </c>
      <c r="F47">
        <f t="shared" si="2"/>
        <v>99.369569438817791</v>
      </c>
      <c r="G47">
        <f t="shared" si="2"/>
        <v>84.607713715269611</v>
      </c>
      <c r="H47">
        <f t="shared" si="3"/>
        <v>97.268010935027007</v>
      </c>
      <c r="I47">
        <f t="shared" si="4"/>
        <v>109.57162800345883</v>
      </c>
      <c r="J47">
        <f t="shared" si="5"/>
        <v>101.19032541606695</v>
      </c>
      <c r="K47">
        <f t="shared" si="6"/>
        <v>91.233095066424042</v>
      </c>
      <c r="L47">
        <f t="shared" si="7"/>
        <v>108.39823402767487</v>
      </c>
      <c r="M47">
        <f t="shared" si="8"/>
        <v>81.657559210869223</v>
      </c>
    </row>
    <row r="48" spans="1:13" x14ac:dyDescent="0.2">
      <c r="D48">
        <f t="shared" si="2"/>
        <v>104.88175756391085</v>
      </c>
      <c r="E48">
        <f t="shared" si="2"/>
        <v>109.07971670851347</v>
      </c>
      <c r="F48">
        <f t="shared" si="2"/>
        <v>98.876371846119099</v>
      </c>
      <c r="G48">
        <f t="shared" si="2"/>
        <v>84.730776819783244</v>
      </c>
      <c r="H48">
        <f t="shared" si="3"/>
        <v>97.126586139275958</v>
      </c>
      <c r="I48">
        <f t="shared" si="4"/>
        <v>108.39136114897637</v>
      </c>
      <c r="J48">
        <f t="shared" si="5"/>
        <v>102.00430221224737</v>
      </c>
      <c r="K48">
        <f t="shared" si="6"/>
        <v>92.944734125739714</v>
      </c>
      <c r="L48">
        <f t="shared" si="7"/>
        <v>108.53273005384843</v>
      </c>
      <c r="M48">
        <f t="shared" si="8"/>
        <v>82.481445940740727</v>
      </c>
    </row>
    <row r="49" spans="4:13" x14ac:dyDescent="0.2">
      <c r="D49">
        <f t="shared" si="2"/>
        <v>103.97833577080071</v>
      </c>
      <c r="E49">
        <f t="shared" si="2"/>
        <v>110.71491861359377</v>
      </c>
      <c r="F49">
        <f t="shared" si="2"/>
        <v>99.074309551314087</v>
      </c>
      <c r="G49">
        <f t="shared" si="2"/>
        <v>83.548627973325509</v>
      </c>
      <c r="H49">
        <f t="shared" si="3"/>
        <v>97.266969744609611</v>
      </c>
      <c r="I49">
        <f t="shared" si="4"/>
        <v>108.55422104976749</v>
      </c>
      <c r="J49">
        <f t="shared" si="5"/>
        <v>100.47421183379056</v>
      </c>
      <c r="K49">
        <f t="shared" si="6"/>
        <v>94.306441292745063</v>
      </c>
      <c r="L49">
        <f t="shared" si="7"/>
        <v>109.26860725518712</v>
      </c>
      <c r="M49">
        <f t="shared" si="8"/>
        <v>83.63792981843774</v>
      </c>
    </row>
    <row r="50" spans="4:13" x14ac:dyDescent="0.2">
      <c r="D50">
        <f t="shared" si="2"/>
        <v>104.1403866179961</v>
      </c>
      <c r="E50">
        <f t="shared" si="2"/>
        <v>111.34829888336444</v>
      </c>
      <c r="F50">
        <f t="shared" si="2"/>
        <v>99.881695982069559</v>
      </c>
      <c r="G50">
        <f t="shared" si="2"/>
        <v>84.402793520809141</v>
      </c>
      <c r="H50">
        <f t="shared" si="3"/>
        <v>97.711502029677845</v>
      </c>
      <c r="I50">
        <f t="shared" si="4"/>
        <v>109.23717623221565</v>
      </c>
      <c r="J50">
        <f t="shared" si="5"/>
        <v>98.016566263542146</v>
      </c>
      <c r="K50">
        <f t="shared" si="6"/>
        <v>93.1346493484522</v>
      </c>
      <c r="L50">
        <f t="shared" si="7"/>
        <v>108.89859084777852</v>
      </c>
      <c r="M50">
        <f t="shared" si="8"/>
        <v>83.22585928623927</v>
      </c>
    </row>
    <row r="51" spans="4:13" x14ac:dyDescent="0.2">
      <c r="D51">
        <f t="shared" si="2"/>
        <v>102.30524011611523</v>
      </c>
      <c r="E51">
        <f t="shared" si="2"/>
        <v>108.73926627207844</v>
      </c>
      <c r="F51">
        <f t="shared" si="2"/>
        <v>100.88421121052649</v>
      </c>
      <c r="G51">
        <f t="shared" si="2"/>
        <v>83.961962159398482</v>
      </c>
      <c r="H51">
        <f t="shared" si="3"/>
        <v>98.096027757267962</v>
      </c>
      <c r="I51">
        <f t="shared" si="4"/>
        <v>110.16210819104438</v>
      </c>
      <c r="J51">
        <f t="shared" si="5"/>
        <v>96.760573875521189</v>
      </c>
      <c r="K51">
        <f t="shared" si="6"/>
        <v>92.28719805495183</v>
      </c>
      <c r="L51">
        <f t="shared" si="7"/>
        <v>109.25985977254798</v>
      </c>
      <c r="M51">
        <f t="shared" si="8"/>
        <v>83.52767357996629</v>
      </c>
    </row>
    <row r="52" spans="4:13" x14ac:dyDescent="0.2">
      <c r="D52">
        <f t="shared" si="2"/>
        <v>102.86722997529097</v>
      </c>
      <c r="E52">
        <f t="shared" si="2"/>
        <v>108.81637719087527</v>
      </c>
      <c r="F52">
        <f t="shared" si="2"/>
        <v>102.87435089835917</v>
      </c>
      <c r="G52">
        <f t="shared" si="2"/>
        <v>84.039939459914109</v>
      </c>
      <c r="H52">
        <f t="shared" si="3"/>
        <v>95.797087442709781</v>
      </c>
      <c r="I52">
        <f t="shared" si="4"/>
        <v>111.7825940413862</v>
      </c>
      <c r="J52">
        <f t="shared" si="5"/>
        <v>97.290985353214438</v>
      </c>
      <c r="K52">
        <f t="shared" si="6"/>
        <v>93.59191876415936</v>
      </c>
      <c r="L52">
        <f t="shared" si="7"/>
        <v>109.89616358032239</v>
      </c>
      <c r="M52">
        <f t="shared" si="8"/>
        <v>82.748272183373672</v>
      </c>
    </row>
    <row r="53" spans="4:13" x14ac:dyDescent="0.2">
      <c r="D53">
        <f t="shared" si="2"/>
        <v>103.26670414464846</v>
      </c>
      <c r="E53">
        <f t="shared" si="2"/>
        <v>110.13246276751327</v>
      </c>
      <c r="F53">
        <f t="shared" si="2"/>
        <v>102.05126495857952</v>
      </c>
      <c r="G53">
        <f t="shared" si="2"/>
        <v>83.958161453088891</v>
      </c>
      <c r="H53">
        <f t="shared" si="3"/>
        <v>97.895403058988904</v>
      </c>
      <c r="I53">
        <f t="shared" si="4"/>
        <v>112.47153238989681</v>
      </c>
      <c r="J53">
        <f t="shared" si="5"/>
        <v>97.160211441062998</v>
      </c>
      <c r="K53">
        <f t="shared" si="6"/>
        <v>94.622539852997889</v>
      </c>
      <c r="L53">
        <f t="shared" si="7"/>
        <v>111.31518582006431</v>
      </c>
      <c r="M53">
        <f t="shared" si="8"/>
        <v>84.274473826926595</v>
      </c>
    </row>
    <row r="54" spans="4:13" x14ac:dyDescent="0.2">
      <c r="D54">
        <f t="shared" si="2"/>
        <v>103.30775874361578</v>
      </c>
      <c r="E54">
        <f t="shared" si="2"/>
        <v>110.84630278934654</v>
      </c>
      <c r="F54">
        <f t="shared" si="2"/>
        <v>100.91460021712885</v>
      </c>
      <c r="G54">
        <f t="shared" si="2"/>
        <v>83.257914777059227</v>
      </c>
      <c r="H54">
        <f t="shared" si="3"/>
        <v>98.657609696200481</v>
      </c>
      <c r="I54">
        <f t="shared" si="4"/>
        <v>113.4477985875283</v>
      </c>
      <c r="J54">
        <f t="shared" si="5"/>
        <v>98.408665871031033</v>
      </c>
      <c r="K54">
        <f t="shared" si="6"/>
        <v>92.608455429576182</v>
      </c>
      <c r="L54">
        <f t="shared" si="7"/>
        <v>110.45008184836426</v>
      </c>
      <c r="M54">
        <f t="shared" si="8"/>
        <v>85.434259922934629</v>
      </c>
    </row>
    <row r="55" spans="4:13" x14ac:dyDescent="0.2">
      <c r="D55">
        <f t="shared" si="2"/>
        <v>100.00516956732521</v>
      </c>
      <c r="E55">
        <f t="shared" si="2"/>
        <v>111.90921545081684</v>
      </c>
      <c r="F55">
        <f t="shared" si="2"/>
        <v>100.51148606065688</v>
      </c>
      <c r="G55">
        <f t="shared" si="2"/>
        <v>81.801162098531805</v>
      </c>
      <c r="H55">
        <f t="shared" si="3"/>
        <v>99.245691239739287</v>
      </c>
      <c r="I55">
        <f t="shared" si="4"/>
        <v>112.592781877579</v>
      </c>
      <c r="J55">
        <f t="shared" si="5"/>
        <v>99.393234497570674</v>
      </c>
      <c r="K55">
        <f t="shared" si="6"/>
        <v>91.5378354094927</v>
      </c>
      <c r="L55">
        <f t="shared" si="7"/>
        <v>112.18501753553097</v>
      </c>
      <c r="M55">
        <f t="shared" si="8"/>
        <v>86.116408826116228</v>
      </c>
    </row>
    <row r="56" spans="4:13" x14ac:dyDescent="0.2">
      <c r="D56">
        <f t="shared" si="2"/>
        <v>99.792429035225112</v>
      </c>
      <c r="E56">
        <f t="shared" si="2"/>
        <v>112.73062571139525</v>
      </c>
      <c r="F56">
        <f t="shared" si="2"/>
        <v>101.51268038907669</v>
      </c>
      <c r="G56">
        <f t="shared" si="2"/>
        <v>81.650723851227056</v>
      </c>
      <c r="H56">
        <f t="shared" si="3"/>
        <v>99.299215823673876</v>
      </c>
      <c r="I56">
        <f t="shared" si="4"/>
        <v>112.7424752077039</v>
      </c>
      <c r="J56">
        <f t="shared" si="5"/>
        <v>101.37485455593188</v>
      </c>
      <c r="K56">
        <f t="shared" si="6"/>
        <v>91.166241425670961</v>
      </c>
      <c r="L56">
        <f t="shared" si="7"/>
        <v>112.67331542910364</v>
      </c>
      <c r="M56">
        <f t="shared" si="8"/>
        <v>87.515708092912575</v>
      </c>
    </row>
    <row r="57" spans="4:13" x14ac:dyDescent="0.2">
      <c r="D57">
        <f t="shared" si="2"/>
        <v>98.656797369696136</v>
      </c>
      <c r="E57">
        <f t="shared" si="2"/>
        <v>111.75783531798785</v>
      </c>
      <c r="F57">
        <f t="shared" si="2"/>
        <v>101.5346024215365</v>
      </c>
      <c r="G57">
        <f t="shared" si="2"/>
        <v>82.055801464752378</v>
      </c>
      <c r="H57">
        <f t="shared" si="3"/>
        <v>100.18441438131863</v>
      </c>
      <c r="I57">
        <f t="shared" si="4"/>
        <v>112.20572146598312</v>
      </c>
      <c r="J57">
        <f t="shared" si="5"/>
        <v>102.06498857793137</v>
      </c>
      <c r="K57">
        <f t="shared" si="6"/>
        <v>89.562677115044934</v>
      </c>
      <c r="L57">
        <f t="shared" si="7"/>
        <v>112.2587849307569</v>
      </c>
      <c r="M57">
        <f t="shared" si="8"/>
        <v>89.194592423073644</v>
      </c>
    </row>
    <row r="58" spans="4:13" x14ac:dyDescent="0.2">
      <c r="D58">
        <f t="shared" si="2"/>
        <v>99.600956175084164</v>
      </c>
      <c r="E58">
        <f t="shared" si="2"/>
        <v>110.81334227011278</v>
      </c>
      <c r="F58">
        <f t="shared" si="2"/>
        <v>101.58367859041073</v>
      </c>
      <c r="G58">
        <f t="shared" si="2"/>
        <v>81.55235545272312</v>
      </c>
      <c r="H58">
        <f t="shared" si="3"/>
        <v>99.598128591916179</v>
      </c>
      <c r="I58">
        <f t="shared" si="4"/>
        <v>111.78000620258085</v>
      </c>
      <c r="J58">
        <f t="shared" si="5"/>
        <v>102.05365948150656</v>
      </c>
      <c r="K58">
        <f t="shared" si="6"/>
        <v>89.409086242312355</v>
      </c>
      <c r="L58">
        <f t="shared" si="7"/>
        <v>111.66377106605928</v>
      </c>
      <c r="M58">
        <f t="shared" si="8"/>
        <v>89.151235986501717</v>
      </c>
    </row>
    <row r="59" spans="4:13" x14ac:dyDescent="0.2">
      <c r="D59">
        <f t="shared" si="2"/>
        <v>100.55743760478667</v>
      </c>
      <c r="E59">
        <f t="shared" si="2"/>
        <v>108.7907669614716</v>
      </c>
      <c r="F59">
        <f t="shared" si="2"/>
        <v>103.45885205830389</v>
      </c>
      <c r="G59">
        <f t="shared" si="2"/>
        <v>83.225578233177245</v>
      </c>
      <c r="H59">
        <f t="shared" si="3"/>
        <v>100.03250475680359</v>
      </c>
      <c r="I59">
        <f t="shared" si="4"/>
        <v>112.52838541341886</v>
      </c>
      <c r="J59">
        <f t="shared" si="5"/>
        <v>100.59329054189368</v>
      </c>
      <c r="K59">
        <f t="shared" si="6"/>
        <v>89.027821072571498</v>
      </c>
      <c r="L59">
        <f t="shared" si="7"/>
        <v>111.13085659614495</v>
      </c>
      <c r="M59">
        <f t="shared" si="8"/>
        <v>89.343672374057093</v>
      </c>
    </row>
    <row r="60" spans="4:13" x14ac:dyDescent="0.2">
      <c r="D60">
        <f t="shared" si="2"/>
        <v>100.91458523759314</v>
      </c>
      <c r="E60">
        <f t="shared" si="2"/>
        <v>107.56118908706804</v>
      </c>
      <c r="F60">
        <f t="shared" si="2"/>
        <v>102.8342293545978</v>
      </c>
      <c r="G60">
        <f t="shared" si="2"/>
        <v>82.924547929260243</v>
      </c>
      <c r="H60">
        <f t="shared" si="3"/>
        <v>101.51108297082833</v>
      </c>
      <c r="I60">
        <f t="shared" si="4"/>
        <v>110.78667519295585</v>
      </c>
      <c r="J60">
        <f t="shared" si="5"/>
        <v>102.89896438425257</v>
      </c>
      <c r="K60">
        <f t="shared" si="6"/>
        <v>88.773644426303576</v>
      </c>
      <c r="L60">
        <f t="shared" si="7"/>
        <v>112.4129337132708</v>
      </c>
      <c r="M60">
        <f t="shared" si="8"/>
        <v>87.75534083530269</v>
      </c>
    </row>
    <row r="61" spans="4:13" x14ac:dyDescent="0.2">
      <c r="D61">
        <f t="shared" si="2"/>
        <v>100.71069419736779</v>
      </c>
      <c r="E61">
        <f t="shared" si="2"/>
        <v>107.75545725723707</v>
      </c>
      <c r="F61">
        <f t="shared" si="2"/>
        <v>102.58692352574089</v>
      </c>
      <c r="G61">
        <f t="shared" si="2"/>
        <v>83.597466109865749</v>
      </c>
      <c r="H61">
        <f t="shared" si="3"/>
        <v>101.42643742828486</v>
      </c>
      <c r="I61">
        <f t="shared" si="4"/>
        <v>112.51501042807713</v>
      </c>
      <c r="J61">
        <f t="shared" si="5"/>
        <v>104.6691523821279</v>
      </c>
      <c r="K61">
        <f t="shared" si="6"/>
        <v>89.374924849650256</v>
      </c>
      <c r="L61">
        <f t="shared" si="7"/>
        <v>110.99938962256044</v>
      </c>
      <c r="M61">
        <f t="shared" si="8"/>
        <v>86.98724554331983</v>
      </c>
    </row>
    <row r="62" spans="4:13" x14ac:dyDescent="0.2">
      <c r="D62">
        <f t="shared" si="2"/>
        <v>101.09817490067</v>
      </c>
      <c r="E62">
        <f t="shared" si="2"/>
        <v>107.47616882393484</v>
      </c>
      <c r="F62">
        <f t="shared" si="2"/>
        <v>99.900187332636321</v>
      </c>
      <c r="G62">
        <f t="shared" si="2"/>
        <v>83.995883340280741</v>
      </c>
      <c r="H62">
        <f t="shared" si="3"/>
        <v>99.266559748477164</v>
      </c>
      <c r="I62">
        <f t="shared" si="4"/>
        <v>110.46769679072196</v>
      </c>
      <c r="J62">
        <f t="shared" si="5"/>
        <v>102.69155758110415</v>
      </c>
      <c r="K62">
        <f t="shared" si="6"/>
        <v>88.558423976327873</v>
      </c>
      <c r="L62">
        <f t="shared" si="7"/>
        <v>109.0461690134656</v>
      </c>
      <c r="M62">
        <f t="shared" si="8"/>
        <v>87.360587058091525</v>
      </c>
    </row>
    <row r="63" spans="4:13" x14ac:dyDescent="0.2">
      <c r="D63">
        <f t="shared" si="2"/>
        <v>102.38197873367258</v>
      </c>
      <c r="E63">
        <f t="shared" si="2"/>
        <v>105.67355971792239</v>
      </c>
      <c r="F63">
        <f t="shared" si="2"/>
        <v>98.491227069824021</v>
      </c>
      <c r="G63">
        <f t="shared" si="2"/>
        <v>84.527337349865164</v>
      </c>
      <c r="H63">
        <f t="shared" si="3"/>
        <v>101.7931358729298</v>
      </c>
      <c r="I63">
        <f t="shared" si="4"/>
        <v>113.04195312290105</v>
      </c>
      <c r="J63">
        <f t="shared" si="5"/>
        <v>102.04348436004345</v>
      </c>
      <c r="K63">
        <f t="shared" si="6"/>
        <v>90.240256587707577</v>
      </c>
      <c r="L63">
        <f t="shared" si="7"/>
        <v>110.25980921362452</v>
      </c>
      <c r="M63">
        <f t="shared" si="8"/>
        <v>87.651555658631864</v>
      </c>
    </row>
    <row r="64" spans="4:13" x14ac:dyDescent="0.2">
      <c r="D64">
        <f t="shared" si="2"/>
        <v>101.31771196318931</v>
      </c>
      <c r="E64">
        <f t="shared" si="2"/>
        <v>104.63141656299928</v>
      </c>
      <c r="F64">
        <f t="shared" si="2"/>
        <v>97.766182083178052</v>
      </c>
      <c r="G64">
        <f t="shared" si="2"/>
        <v>86.375643219634071</v>
      </c>
      <c r="H64">
        <f t="shared" si="3"/>
        <v>100.45429656942413</v>
      </c>
      <c r="I64">
        <f t="shared" si="4"/>
        <v>112.13375769866276</v>
      </c>
      <c r="J64">
        <f t="shared" si="5"/>
        <v>100.14470704544644</v>
      </c>
      <c r="K64">
        <f t="shared" si="6"/>
        <v>90.723746468181929</v>
      </c>
      <c r="L64">
        <f t="shared" si="7"/>
        <v>112.9479375400483</v>
      </c>
      <c r="M64">
        <f t="shared" si="8"/>
        <v>88.566446905064026</v>
      </c>
    </row>
    <row r="65" spans="4:13" x14ac:dyDescent="0.2">
      <c r="D65">
        <f t="shared" si="2"/>
        <v>101.23184679704961</v>
      </c>
      <c r="E65">
        <f t="shared" si="2"/>
        <v>102.943839463822</v>
      </c>
      <c r="F65">
        <f t="shared" si="2"/>
        <v>98.324892653989579</v>
      </c>
      <c r="G65">
        <f t="shared" si="2"/>
        <v>84.863487384224129</v>
      </c>
      <c r="H65">
        <f t="shared" si="3"/>
        <v>99.310590526928166</v>
      </c>
      <c r="I65">
        <f t="shared" si="4"/>
        <v>111.07361293537797</v>
      </c>
      <c r="J65">
        <f t="shared" si="5"/>
        <v>98.083486640845848</v>
      </c>
      <c r="K65">
        <f t="shared" si="6"/>
        <v>91.094249105115651</v>
      </c>
      <c r="L65">
        <f t="shared" si="7"/>
        <v>112.45602221899564</v>
      </c>
      <c r="M65">
        <f t="shared" si="8"/>
        <v>90.065808531887669</v>
      </c>
    </row>
    <row r="66" spans="4:13" x14ac:dyDescent="0.2">
      <c r="D66">
        <f t="shared" si="2"/>
        <v>99.509264910530518</v>
      </c>
      <c r="E66">
        <f t="shared" si="2"/>
        <v>104.66911632962358</v>
      </c>
      <c r="F66">
        <f t="shared" si="2"/>
        <v>97.244080740018418</v>
      </c>
      <c r="G66">
        <f t="shared" si="2"/>
        <v>84.862741776287805</v>
      </c>
      <c r="H66">
        <f t="shared" si="3"/>
        <v>98.672365462286749</v>
      </c>
      <c r="I66">
        <f t="shared" si="4"/>
        <v>109.60588057941759</v>
      </c>
      <c r="J66">
        <f t="shared" si="5"/>
        <v>97.397898974639688</v>
      </c>
      <c r="K66">
        <f t="shared" si="6"/>
        <v>90.763058858673404</v>
      </c>
      <c r="L66">
        <f t="shared" si="7"/>
        <v>113.77930813764281</v>
      </c>
      <c r="M66">
        <f t="shared" si="8"/>
        <v>89.452306425918465</v>
      </c>
    </row>
    <row r="67" spans="4:13" x14ac:dyDescent="0.2">
      <c r="D67">
        <f t="shared" si="2"/>
        <v>99.474189745408651</v>
      </c>
      <c r="E67">
        <f t="shared" si="2"/>
        <v>105.37201305243089</v>
      </c>
      <c r="F67">
        <f t="shared" si="2"/>
        <v>97.647246053703668</v>
      </c>
      <c r="G67">
        <f t="shared" si="2"/>
        <v>83.546004014263758</v>
      </c>
      <c r="H67">
        <f t="shared" si="3"/>
        <v>98.079843473609856</v>
      </c>
      <c r="I67">
        <f t="shared" si="4"/>
        <v>108.52643737723281</v>
      </c>
      <c r="J67">
        <f t="shared" si="5"/>
        <v>96.863583792305249</v>
      </c>
      <c r="K67">
        <f t="shared" si="6"/>
        <v>92.388391957462773</v>
      </c>
      <c r="L67">
        <f t="shared" si="7"/>
        <v>111.65415914122421</v>
      </c>
      <c r="M67">
        <f t="shared" si="8"/>
        <v>90.355343075622358</v>
      </c>
    </row>
    <row r="68" spans="4:13" x14ac:dyDescent="0.2">
      <c r="D68">
        <f t="shared" si="2"/>
        <v>101.14794693212986</v>
      </c>
      <c r="E68">
        <f t="shared" si="2"/>
        <v>104.99051410511615</v>
      </c>
      <c r="F68">
        <f t="shared" si="2"/>
        <v>98.059630610561172</v>
      </c>
      <c r="G68">
        <f t="shared" si="2"/>
        <v>84.817544161080022</v>
      </c>
      <c r="H68">
        <f t="shared" si="3"/>
        <v>97.333546050299347</v>
      </c>
      <c r="I68">
        <f t="shared" si="4"/>
        <v>108.29937664890225</v>
      </c>
      <c r="J68">
        <f t="shared" si="5"/>
        <v>97.853341138366304</v>
      </c>
      <c r="K68">
        <f t="shared" si="6"/>
        <v>93.202075642986443</v>
      </c>
      <c r="L68">
        <f t="shared" si="7"/>
        <v>112.36022923989178</v>
      </c>
      <c r="M68">
        <f t="shared" si="8"/>
        <v>91.794383796434389</v>
      </c>
    </row>
    <row r="69" spans="4:13" x14ac:dyDescent="0.2">
      <c r="D69">
        <f t="shared" si="2"/>
        <v>101.43526222317053</v>
      </c>
      <c r="E69">
        <f t="shared" si="2"/>
        <v>105.44903852628782</v>
      </c>
      <c r="F69">
        <f t="shared" si="2"/>
        <v>97.906252317563386</v>
      </c>
      <c r="G69">
        <f t="shared" si="2"/>
        <v>84.575568608767</v>
      </c>
      <c r="H69">
        <f t="shared" si="3"/>
        <v>97.522622583641549</v>
      </c>
      <c r="I69">
        <f t="shared" si="4"/>
        <v>107.54623724178886</v>
      </c>
      <c r="J69">
        <f t="shared" si="5"/>
        <v>97.733566761245882</v>
      </c>
      <c r="K69">
        <f t="shared" si="6"/>
        <v>92.851967603687825</v>
      </c>
      <c r="L69">
        <f t="shared" si="7"/>
        <v>111.19598104042466</v>
      </c>
      <c r="M69">
        <f t="shared" si="8"/>
        <v>90.68995230128948</v>
      </c>
    </row>
    <row r="70" spans="4:13" x14ac:dyDescent="0.2">
      <c r="D70">
        <f t="shared" si="2"/>
        <v>100.92540455815552</v>
      </c>
      <c r="E70">
        <f t="shared" si="2"/>
        <v>104.70557305591699</v>
      </c>
      <c r="F70">
        <f t="shared" si="2"/>
        <v>98.694089506552544</v>
      </c>
      <c r="G70">
        <f t="shared" si="2"/>
        <v>83.751014926738293</v>
      </c>
      <c r="H70">
        <f t="shared" si="3"/>
        <v>97.363560223634266</v>
      </c>
      <c r="I70">
        <f t="shared" si="4"/>
        <v>108.40397383448072</v>
      </c>
      <c r="J70">
        <f t="shared" si="5"/>
        <v>96.912215146386856</v>
      </c>
      <c r="K70">
        <f t="shared" si="6"/>
        <v>93.714710589952716</v>
      </c>
      <c r="L70">
        <f t="shared" si="7"/>
        <v>109.66542160359261</v>
      </c>
      <c r="M70">
        <f t="shared" si="8"/>
        <v>90.52424272374526</v>
      </c>
    </row>
    <row r="71" spans="4:13" x14ac:dyDescent="0.2">
      <c r="D71">
        <f t="shared" si="2"/>
        <v>102.49166911966755</v>
      </c>
      <c r="E71">
        <f t="shared" si="2"/>
        <v>105.78358337013877</v>
      </c>
      <c r="F71">
        <f t="shared" si="2"/>
        <v>97.7273300301175</v>
      </c>
      <c r="G71">
        <f t="shared" si="2"/>
        <v>84.151634637085422</v>
      </c>
      <c r="H71">
        <f t="shared" si="3"/>
        <v>95.965254233796728</v>
      </c>
      <c r="I71">
        <f t="shared" si="4"/>
        <v>105.88172240819257</v>
      </c>
      <c r="J71">
        <f t="shared" si="5"/>
        <v>97.89515598269108</v>
      </c>
      <c r="K71">
        <f t="shared" si="6"/>
        <v>93.59715065774445</v>
      </c>
      <c r="L71">
        <f t="shared" si="7"/>
        <v>110.03996469401891</v>
      </c>
      <c r="M71">
        <f t="shared" si="8"/>
        <v>92.347293237285456</v>
      </c>
    </row>
    <row r="72" spans="4:13" x14ac:dyDescent="0.2">
      <c r="D72">
        <f t="shared" si="2"/>
        <v>101.04926008801429</v>
      </c>
      <c r="E72">
        <f t="shared" si="2"/>
        <v>107.7184341177762</v>
      </c>
      <c r="F72">
        <f t="shared" si="2"/>
        <v>99.328378942008285</v>
      </c>
      <c r="G72">
        <f t="shared" si="2"/>
        <v>83.825324520283601</v>
      </c>
      <c r="H72">
        <f t="shared" si="3"/>
        <v>94.986337231237144</v>
      </c>
      <c r="I72">
        <f t="shared" si="4"/>
        <v>107.00818781817077</v>
      </c>
      <c r="J72">
        <f t="shared" si="5"/>
        <v>98.198346168290442</v>
      </c>
      <c r="K72">
        <f t="shared" si="6"/>
        <v>91.511195152337038</v>
      </c>
      <c r="L72">
        <f t="shared" si="7"/>
        <v>110.59435345384985</v>
      </c>
      <c r="M72">
        <f t="shared" si="8"/>
        <v>90.997272772188452</v>
      </c>
    </row>
    <row r="73" spans="4:13" x14ac:dyDescent="0.2">
      <c r="D73">
        <f t="shared" si="2"/>
        <v>101.57790125256805</v>
      </c>
      <c r="E73">
        <f t="shared" si="2"/>
        <v>109.36393630805797</v>
      </c>
      <c r="F73">
        <f t="shared" si="2"/>
        <v>100.1461402033225</v>
      </c>
      <c r="G73">
        <f t="shared" si="2"/>
        <v>84.620570343950817</v>
      </c>
      <c r="H73">
        <f t="shared" si="3"/>
        <v>95.92274124244409</v>
      </c>
      <c r="I73">
        <f t="shared" si="4"/>
        <v>107.21136664685261</v>
      </c>
      <c r="J73">
        <f t="shared" si="5"/>
        <v>97.205043209100367</v>
      </c>
      <c r="K73">
        <f t="shared" si="6"/>
        <v>91.116902014984632</v>
      </c>
      <c r="L73">
        <f t="shared" si="7"/>
        <v>108.33122724752819</v>
      </c>
      <c r="M73">
        <f t="shared" si="8"/>
        <v>90.819205769068304</v>
      </c>
    </row>
    <row r="74" spans="4:13" x14ac:dyDescent="0.2">
      <c r="D74">
        <f t="shared" ref="D74:G137" si="9">Traj(D73,$D$2,$D$3,$D$4,$D$5)</f>
        <v>100.82942595375322</v>
      </c>
      <c r="E74">
        <f t="shared" si="9"/>
        <v>109.34681888353565</v>
      </c>
      <c r="F74">
        <f t="shared" si="9"/>
        <v>100.16151697149375</v>
      </c>
      <c r="G74">
        <f t="shared" si="9"/>
        <v>83.93552055766861</v>
      </c>
      <c r="H74">
        <f t="shared" ref="H74:H137" si="10">Traj(H73,$D$2,$D$3,$D$4,$D$5)</f>
        <v>96.531720890707476</v>
      </c>
      <c r="I74">
        <f t="shared" ref="I74:I137" si="11">Traj(I73,$D$2,$D$3,$D$4,$D$5)</f>
        <v>105.67462802064252</v>
      </c>
      <c r="J74">
        <f t="shared" ref="J74:J137" si="12">Traj(J73,$D$2,$D$3,$D$4,$D$5)</f>
        <v>94.939951187499446</v>
      </c>
      <c r="K74">
        <f t="shared" ref="K74:K137" si="13">Traj(K73,$D$2,$D$3,$D$4,$D$5)</f>
        <v>90.486447084187489</v>
      </c>
      <c r="L74">
        <f t="shared" ref="L74:L137" si="14">Traj(L73,$D$2,$D$3,$D$4,$D$5)</f>
        <v>109.21243704961864</v>
      </c>
      <c r="M74">
        <f t="shared" ref="M74:M137" si="15">Traj(M73,$D$2,$D$3,$D$4,$D$5)</f>
        <v>90.851676697801992</v>
      </c>
    </row>
    <row r="75" spans="4:13" x14ac:dyDescent="0.2">
      <c r="D75">
        <f t="shared" si="9"/>
        <v>103.7359254189199</v>
      </c>
      <c r="E75">
        <f t="shared" si="9"/>
        <v>109.00815242496719</v>
      </c>
      <c r="F75">
        <f t="shared" si="9"/>
        <v>100.2787511390314</v>
      </c>
      <c r="G75">
        <f t="shared" si="9"/>
        <v>84.09906621691276</v>
      </c>
      <c r="H75">
        <f t="shared" si="10"/>
        <v>98.313636445124601</v>
      </c>
      <c r="I75">
        <f t="shared" si="11"/>
        <v>104.96562641097546</v>
      </c>
      <c r="J75">
        <f t="shared" si="12"/>
        <v>93.735989243899098</v>
      </c>
      <c r="K75">
        <f t="shared" si="13"/>
        <v>91.060583207657587</v>
      </c>
      <c r="L75">
        <f t="shared" si="14"/>
        <v>109.08987839398763</v>
      </c>
      <c r="M75">
        <f t="shared" si="15"/>
        <v>90.704848003826925</v>
      </c>
    </row>
    <row r="76" spans="4:13" x14ac:dyDescent="0.2">
      <c r="D76">
        <f t="shared" si="9"/>
        <v>105.09212219952563</v>
      </c>
      <c r="E76">
        <f t="shared" si="9"/>
        <v>108.9304012843408</v>
      </c>
      <c r="F76">
        <f t="shared" si="9"/>
        <v>99.337149984135038</v>
      </c>
      <c r="G76">
        <f t="shared" si="9"/>
        <v>84.324859089103512</v>
      </c>
      <c r="H76">
        <f t="shared" si="10"/>
        <v>95.761687514631831</v>
      </c>
      <c r="I76">
        <f t="shared" si="11"/>
        <v>105.6422939367346</v>
      </c>
      <c r="J76">
        <f t="shared" si="12"/>
        <v>93.327583889339749</v>
      </c>
      <c r="K76">
        <f t="shared" si="13"/>
        <v>90.696706009398909</v>
      </c>
      <c r="L76">
        <f t="shared" si="14"/>
        <v>109.11136092664736</v>
      </c>
      <c r="M76">
        <f t="shared" si="15"/>
        <v>90.822113813865116</v>
      </c>
    </row>
    <row r="77" spans="4:13" x14ac:dyDescent="0.2">
      <c r="D77">
        <f t="shared" si="9"/>
        <v>106.09864791175589</v>
      </c>
      <c r="E77">
        <f t="shared" si="9"/>
        <v>107.81311810562778</v>
      </c>
      <c r="F77">
        <f t="shared" si="9"/>
        <v>97.753724247933761</v>
      </c>
      <c r="G77">
        <f t="shared" si="9"/>
        <v>88.270167811112557</v>
      </c>
      <c r="H77">
        <f t="shared" si="10"/>
        <v>95.387181824999175</v>
      </c>
      <c r="I77">
        <f t="shared" si="11"/>
        <v>107.69477996150239</v>
      </c>
      <c r="J77">
        <f t="shared" si="12"/>
        <v>93.442927443992303</v>
      </c>
      <c r="K77">
        <f t="shared" si="13"/>
        <v>90.412810351817072</v>
      </c>
      <c r="L77">
        <f t="shared" si="14"/>
        <v>106.56154711865116</v>
      </c>
      <c r="M77">
        <f t="shared" si="15"/>
        <v>91.037025762482898</v>
      </c>
    </row>
    <row r="78" spans="4:13" x14ac:dyDescent="0.2">
      <c r="D78">
        <f t="shared" si="9"/>
        <v>105.99839727045709</v>
      </c>
      <c r="E78">
        <f t="shared" si="9"/>
        <v>107.93858774821322</v>
      </c>
      <c r="F78">
        <f t="shared" si="9"/>
        <v>98.996572904060912</v>
      </c>
      <c r="G78">
        <f t="shared" si="9"/>
        <v>86.893664879554962</v>
      </c>
      <c r="H78">
        <f t="shared" si="10"/>
        <v>93.230230638040723</v>
      </c>
      <c r="I78">
        <f t="shared" si="11"/>
        <v>107.93692321951124</v>
      </c>
      <c r="J78">
        <f t="shared" si="12"/>
        <v>92.772398405202267</v>
      </c>
      <c r="K78">
        <f t="shared" si="13"/>
        <v>90.453298805912169</v>
      </c>
      <c r="L78">
        <f t="shared" si="14"/>
        <v>105.0525653390979</v>
      </c>
      <c r="M78">
        <f t="shared" si="15"/>
        <v>90.175179138059349</v>
      </c>
    </row>
    <row r="79" spans="4:13" x14ac:dyDescent="0.2">
      <c r="D79">
        <f t="shared" si="9"/>
        <v>107.11092636894566</v>
      </c>
      <c r="E79">
        <f t="shared" si="9"/>
        <v>107.4354812234622</v>
      </c>
      <c r="F79">
        <f t="shared" si="9"/>
        <v>99.25853808200651</v>
      </c>
      <c r="G79">
        <f t="shared" si="9"/>
        <v>87.742091661682309</v>
      </c>
      <c r="H79">
        <f t="shared" si="10"/>
        <v>91.254439035404545</v>
      </c>
      <c r="I79">
        <f t="shared" si="11"/>
        <v>110.00059412238522</v>
      </c>
      <c r="J79">
        <f t="shared" si="12"/>
        <v>91.046469779860018</v>
      </c>
      <c r="K79">
        <f t="shared" si="13"/>
        <v>90.25172300488579</v>
      </c>
      <c r="L79">
        <f t="shared" si="14"/>
        <v>103.94158115299388</v>
      </c>
      <c r="M79">
        <f t="shared" si="15"/>
        <v>92.139984777175712</v>
      </c>
    </row>
    <row r="80" spans="4:13" x14ac:dyDescent="0.2">
      <c r="D80">
        <f t="shared" si="9"/>
        <v>110.4838473907366</v>
      </c>
      <c r="E80">
        <f t="shared" si="9"/>
        <v>107.54568812745764</v>
      </c>
      <c r="F80">
        <f t="shared" si="9"/>
        <v>101.12677193059831</v>
      </c>
      <c r="G80">
        <f t="shared" si="9"/>
        <v>86.791354914205499</v>
      </c>
      <c r="H80">
        <f t="shared" si="10"/>
        <v>91.886124715798942</v>
      </c>
      <c r="I80">
        <f t="shared" si="11"/>
        <v>110.79416984492852</v>
      </c>
      <c r="J80">
        <f t="shared" si="12"/>
        <v>89.493449036274271</v>
      </c>
      <c r="K80">
        <f t="shared" si="13"/>
        <v>89.944632455196938</v>
      </c>
      <c r="L80">
        <f t="shared" si="14"/>
        <v>101.49730443569042</v>
      </c>
      <c r="M80">
        <f t="shared" si="15"/>
        <v>89.383139861095245</v>
      </c>
    </row>
    <row r="81" spans="4:13" x14ac:dyDescent="0.2">
      <c r="D81">
        <f t="shared" si="9"/>
        <v>111.12020584792366</v>
      </c>
      <c r="E81">
        <f t="shared" si="9"/>
        <v>107.2030365021307</v>
      </c>
      <c r="F81">
        <f t="shared" si="9"/>
        <v>102.62650256573733</v>
      </c>
      <c r="G81">
        <f t="shared" si="9"/>
        <v>86.120141850586975</v>
      </c>
      <c r="H81">
        <f t="shared" si="10"/>
        <v>92.141680129295381</v>
      </c>
      <c r="I81">
        <f t="shared" si="11"/>
        <v>109.13043793319385</v>
      </c>
      <c r="J81">
        <f t="shared" si="12"/>
        <v>88.333324369534381</v>
      </c>
      <c r="K81">
        <f t="shared" si="13"/>
        <v>89.312153276463164</v>
      </c>
      <c r="L81">
        <f t="shared" si="14"/>
        <v>98.764510606306061</v>
      </c>
      <c r="M81">
        <f t="shared" si="15"/>
        <v>88.242354469743034</v>
      </c>
    </row>
    <row r="82" spans="4:13" x14ac:dyDescent="0.2">
      <c r="D82">
        <f t="shared" si="9"/>
        <v>110.39678020704216</v>
      </c>
      <c r="E82">
        <f t="shared" si="9"/>
        <v>107.04033867844463</v>
      </c>
      <c r="F82">
        <f t="shared" si="9"/>
        <v>103.39089806678258</v>
      </c>
      <c r="G82">
        <f t="shared" si="9"/>
        <v>85.666756115674659</v>
      </c>
      <c r="H82">
        <f t="shared" si="10"/>
        <v>92.050043246448141</v>
      </c>
      <c r="I82">
        <f t="shared" si="11"/>
        <v>109.20369096654225</v>
      </c>
      <c r="J82">
        <f t="shared" si="12"/>
        <v>87.484029383339603</v>
      </c>
      <c r="K82">
        <f t="shared" si="13"/>
        <v>89.875642782144638</v>
      </c>
      <c r="L82">
        <f t="shared" si="14"/>
        <v>97.295391647337169</v>
      </c>
      <c r="M82">
        <f t="shared" si="15"/>
        <v>86.756910218746967</v>
      </c>
    </row>
    <row r="83" spans="4:13" x14ac:dyDescent="0.2">
      <c r="D83">
        <f t="shared" si="9"/>
        <v>110.34927973895064</v>
      </c>
      <c r="E83">
        <f t="shared" si="9"/>
        <v>104.86268348090934</v>
      </c>
      <c r="F83">
        <f t="shared" si="9"/>
        <v>104.44050805411493</v>
      </c>
      <c r="G83">
        <f t="shared" si="9"/>
        <v>86.323317281219957</v>
      </c>
      <c r="H83">
        <f t="shared" si="10"/>
        <v>92.501755984694626</v>
      </c>
      <c r="I83">
        <f t="shared" si="11"/>
        <v>108.6695695416022</v>
      </c>
      <c r="J83">
        <f t="shared" si="12"/>
        <v>86.636118829324971</v>
      </c>
      <c r="K83">
        <f t="shared" si="13"/>
        <v>89.497315119092988</v>
      </c>
      <c r="L83">
        <f t="shared" si="14"/>
        <v>97.292536121511759</v>
      </c>
      <c r="M83">
        <f t="shared" si="15"/>
        <v>88.223329362591286</v>
      </c>
    </row>
    <row r="84" spans="4:13" x14ac:dyDescent="0.2">
      <c r="D84">
        <f t="shared" si="9"/>
        <v>108.32203055716542</v>
      </c>
      <c r="E84">
        <f t="shared" si="9"/>
        <v>101.9189652272745</v>
      </c>
      <c r="F84">
        <f t="shared" si="9"/>
        <v>103.53555210698148</v>
      </c>
      <c r="G84">
        <f t="shared" si="9"/>
        <v>83.676649130522875</v>
      </c>
      <c r="H84">
        <f t="shared" si="10"/>
        <v>91.157323625518487</v>
      </c>
      <c r="I84">
        <f t="shared" si="11"/>
        <v>107.74118819458779</v>
      </c>
      <c r="J84">
        <f t="shared" si="12"/>
        <v>87.007676413115831</v>
      </c>
      <c r="K84">
        <f t="shared" si="13"/>
        <v>92.150882372278716</v>
      </c>
      <c r="L84">
        <f t="shared" si="14"/>
        <v>97.09872966481575</v>
      </c>
      <c r="M84">
        <f t="shared" si="15"/>
        <v>88.553735804018487</v>
      </c>
    </row>
    <row r="85" spans="4:13" x14ac:dyDescent="0.2">
      <c r="D85">
        <f t="shared" si="9"/>
        <v>109.55048944784389</v>
      </c>
      <c r="E85">
        <f t="shared" si="9"/>
        <v>102.60222914001181</v>
      </c>
      <c r="F85">
        <f t="shared" si="9"/>
        <v>104.18642387171042</v>
      </c>
      <c r="G85">
        <f t="shared" si="9"/>
        <v>82.757883929240208</v>
      </c>
      <c r="H85">
        <f t="shared" si="10"/>
        <v>90.378572475644745</v>
      </c>
      <c r="I85">
        <f t="shared" si="11"/>
        <v>108.5115464541316</v>
      </c>
      <c r="J85">
        <f t="shared" si="12"/>
        <v>88.001836721310298</v>
      </c>
      <c r="K85">
        <f t="shared" si="13"/>
        <v>93.405205897120325</v>
      </c>
      <c r="L85">
        <f t="shared" si="14"/>
        <v>96.629364525305633</v>
      </c>
      <c r="M85">
        <f t="shared" si="15"/>
        <v>87.958855841180025</v>
      </c>
    </row>
    <row r="86" spans="4:13" x14ac:dyDescent="0.2">
      <c r="D86">
        <f t="shared" si="9"/>
        <v>109.39749954398475</v>
      </c>
      <c r="E86">
        <f t="shared" si="9"/>
        <v>103.13899796689108</v>
      </c>
      <c r="F86">
        <f t="shared" si="9"/>
        <v>104.32933869267416</v>
      </c>
      <c r="G86">
        <f t="shared" si="9"/>
        <v>83.35072291034696</v>
      </c>
      <c r="H86">
        <f t="shared" si="10"/>
        <v>91.344391330434647</v>
      </c>
      <c r="I86">
        <f t="shared" si="11"/>
        <v>109.15810919221775</v>
      </c>
      <c r="J86">
        <f t="shared" si="12"/>
        <v>88.628999362082325</v>
      </c>
      <c r="K86">
        <f t="shared" si="13"/>
        <v>93.689853332234151</v>
      </c>
      <c r="L86">
        <f t="shared" si="14"/>
        <v>96.229126576019496</v>
      </c>
      <c r="M86">
        <f t="shared" si="15"/>
        <v>86.360122384528481</v>
      </c>
    </row>
    <row r="87" spans="4:13" x14ac:dyDescent="0.2">
      <c r="D87">
        <f t="shared" si="9"/>
        <v>109.50354291290117</v>
      </c>
      <c r="E87">
        <f t="shared" si="9"/>
        <v>102.96597924018283</v>
      </c>
      <c r="F87">
        <f t="shared" si="9"/>
        <v>104.71566756667258</v>
      </c>
      <c r="G87">
        <f t="shared" si="9"/>
        <v>85.333189554852339</v>
      </c>
      <c r="H87">
        <f t="shared" si="10"/>
        <v>92.423011675745684</v>
      </c>
      <c r="I87">
        <f t="shared" si="11"/>
        <v>112.96567559891746</v>
      </c>
      <c r="J87">
        <f t="shared" si="12"/>
        <v>88.072294492627691</v>
      </c>
      <c r="K87">
        <f t="shared" si="13"/>
        <v>94.649746383566011</v>
      </c>
      <c r="L87">
        <f t="shared" si="14"/>
        <v>95.535142439569867</v>
      </c>
      <c r="M87">
        <f t="shared" si="15"/>
        <v>87.502579891083897</v>
      </c>
    </row>
    <row r="88" spans="4:13" x14ac:dyDescent="0.2">
      <c r="D88">
        <f t="shared" si="9"/>
        <v>108.08663173993241</v>
      </c>
      <c r="E88">
        <f t="shared" si="9"/>
        <v>102.40669205019636</v>
      </c>
      <c r="F88">
        <f t="shared" si="9"/>
        <v>104.74511005465517</v>
      </c>
      <c r="G88">
        <f t="shared" si="9"/>
        <v>85.853804566874899</v>
      </c>
      <c r="H88">
        <f t="shared" si="10"/>
        <v>93.294233746687453</v>
      </c>
      <c r="I88">
        <f t="shared" si="11"/>
        <v>115.33112275084933</v>
      </c>
      <c r="J88">
        <f t="shared" si="12"/>
        <v>88.248010688626991</v>
      </c>
      <c r="K88">
        <f t="shared" si="13"/>
        <v>94.992217872339012</v>
      </c>
      <c r="L88">
        <f t="shared" si="14"/>
        <v>95.030190694636417</v>
      </c>
      <c r="M88">
        <f t="shared" si="15"/>
        <v>89.56543358515772</v>
      </c>
    </row>
    <row r="89" spans="4:13" x14ac:dyDescent="0.2">
      <c r="D89">
        <f t="shared" si="9"/>
        <v>109.96020121670405</v>
      </c>
      <c r="E89">
        <f t="shared" si="9"/>
        <v>104.45121624496051</v>
      </c>
      <c r="F89">
        <f t="shared" si="9"/>
        <v>104.61490629067085</v>
      </c>
      <c r="G89">
        <f t="shared" si="9"/>
        <v>86.441318857850419</v>
      </c>
      <c r="H89">
        <f t="shared" si="10"/>
        <v>92.463831035609175</v>
      </c>
      <c r="I89">
        <f t="shared" si="11"/>
        <v>115.53750407055118</v>
      </c>
      <c r="J89">
        <f t="shared" si="12"/>
        <v>87.469117057341478</v>
      </c>
      <c r="K89">
        <f t="shared" si="13"/>
        <v>94.665216243211006</v>
      </c>
      <c r="L89">
        <f t="shared" si="14"/>
        <v>95.939684689480785</v>
      </c>
      <c r="M89">
        <f t="shared" si="15"/>
        <v>90.143807936906384</v>
      </c>
    </row>
    <row r="90" spans="4:13" x14ac:dyDescent="0.2">
      <c r="D90">
        <f t="shared" si="9"/>
        <v>110.24460262586281</v>
      </c>
      <c r="E90">
        <f t="shared" si="9"/>
        <v>105.4699732779948</v>
      </c>
      <c r="F90">
        <f t="shared" si="9"/>
        <v>105.97050409104106</v>
      </c>
      <c r="G90">
        <f t="shared" si="9"/>
        <v>86.54343896870121</v>
      </c>
      <c r="H90">
        <f t="shared" si="10"/>
        <v>92.794482186764057</v>
      </c>
      <c r="I90">
        <f t="shared" si="11"/>
        <v>115.28140992974515</v>
      </c>
      <c r="J90">
        <f t="shared" si="12"/>
        <v>87.875799628869714</v>
      </c>
      <c r="K90">
        <f t="shared" si="13"/>
        <v>94.227505298702695</v>
      </c>
      <c r="L90">
        <f t="shared" si="14"/>
        <v>96.24162944476339</v>
      </c>
      <c r="M90">
        <f t="shared" si="15"/>
        <v>88.301966113435014</v>
      </c>
    </row>
    <row r="91" spans="4:13" x14ac:dyDescent="0.2">
      <c r="D91">
        <f t="shared" si="9"/>
        <v>110.03785376582272</v>
      </c>
      <c r="E91">
        <f t="shared" si="9"/>
        <v>105.51049765618627</v>
      </c>
      <c r="F91">
        <f t="shared" si="9"/>
        <v>105.53870875645453</v>
      </c>
      <c r="G91">
        <f t="shared" si="9"/>
        <v>86.539531527865691</v>
      </c>
      <c r="H91">
        <f t="shared" si="10"/>
        <v>93.177567470144822</v>
      </c>
      <c r="I91">
        <f t="shared" si="11"/>
        <v>114.99235282926318</v>
      </c>
      <c r="J91">
        <f t="shared" si="12"/>
        <v>87.474894005280603</v>
      </c>
      <c r="K91">
        <f t="shared" si="13"/>
        <v>92.905407528509272</v>
      </c>
      <c r="L91">
        <f t="shared" si="14"/>
        <v>96.09230531071367</v>
      </c>
      <c r="M91">
        <f t="shared" si="15"/>
        <v>87.378839077117149</v>
      </c>
    </row>
    <row r="92" spans="4:13" x14ac:dyDescent="0.2">
      <c r="D92">
        <f t="shared" si="9"/>
        <v>110.33279830430895</v>
      </c>
      <c r="E92">
        <f t="shared" si="9"/>
        <v>106.0114714774019</v>
      </c>
      <c r="F92">
        <f t="shared" si="9"/>
        <v>105.54354815600523</v>
      </c>
      <c r="G92">
        <f t="shared" si="9"/>
        <v>87.926439870243982</v>
      </c>
      <c r="H92">
        <f t="shared" si="10"/>
        <v>92.672922375186147</v>
      </c>
      <c r="I92">
        <f t="shared" si="11"/>
        <v>114.4801945604564</v>
      </c>
      <c r="J92">
        <f t="shared" si="12"/>
        <v>89.090568995967388</v>
      </c>
      <c r="K92">
        <f t="shared" si="13"/>
        <v>92.717720844608394</v>
      </c>
      <c r="L92">
        <f t="shared" si="14"/>
        <v>96.407486350541589</v>
      </c>
      <c r="M92">
        <f t="shared" si="15"/>
        <v>87.930040554060355</v>
      </c>
    </row>
    <row r="93" spans="4:13" x14ac:dyDescent="0.2">
      <c r="D93">
        <f t="shared" si="9"/>
        <v>108.04027941517751</v>
      </c>
      <c r="E93">
        <f t="shared" si="9"/>
        <v>104.55812133164366</v>
      </c>
      <c r="F93">
        <f t="shared" si="9"/>
        <v>104.41124703137123</v>
      </c>
      <c r="G93">
        <f t="shared" si="9"/>
        <v>87.654921618648174</v>
      </c>
      <c r="H93">
        <f t="shared" si="10"/>
        <v>94.237693766036372</v>
      </c>
      <c r="I93">
        <f t="shared" si="11"/>
        <v>112.01634749692367</v>
      </c>
      <c r="J93">
        <f t="shared" si="12"/>
        <v>87.30268515274031</v>
      </c>
      <c r="K93">
        <f t="shared" si="13"/>
        <v>95.456026036287128</v>
      </c>
      <c r="L93">
        <f t="shared" si="14"/>
        <v>96.040304250449012</v>
      </c>
      <c r="M93">
        <f t="shared" si="15"/>
        <v>87.22904905854287</v>
      </c>
    </row>
    <row r="94" spans="4:13" x14ac:dyDescent="0.2">
      <c r="D94">
        <f t="shared" si="9"/>
        <v>107.33849006341973</v>
      </c>
      <c r="E94">
        <f t="shared" si="9"/>
        <v>103.8655486861983</v>
      </c>
      <c r="F94">
        <f t="shared" si="9"/>
        <v>104.01458244216062</v>
      </c>
      <c r="G94">
        <f t="shared" si="9"/>
        <v>88.103058642408953</v>
      </c>
      <c r="H94">
        <f t="shared" si="10"/>
        <v>94.498054823026038</v>
      </c>
      <c r="I94">
        <f t="shared" si="11"/>
        <v>113.18818492127602</v>
      </c>
      <c r="J94">
        <f t="shared" si="12"/>
        <v>88.87608608124755</v>
      </c>
      <c r="K94">
        <f t="shared" si="13"/>
        <v>96.304728776360008</v>
      </c>
      <c r="L94">
        <f t="shared" si="14"/>
        <v>97.300369052383488</v>
      </c>
      <c r="M94">
        <f t="shared" si="15"/>
        <v>86.217927460572994</v>
      </c>
    </row>
    <row r="95" spans="4:13" x14ac:dyDescent="0.2">
      <c r="D95">
        <f t="shared" si="9"/>
        <v>108.8874708078431</v>
      </c>
      <c r="E95">
        <f t="shared" si="9"/>
        <v>106.21002086498014</v>
      </c>
      <c r="F95">
        <f t="shared" si="9"/>
        <v>104.84249176649897</v>
      </c>
      <c r="G95">
        <f t="shared" si="9"/>
        <v>87.763220371591501</v>
      </c>
      <c r="H95">
        <f t="shared" si="10"/>
        <v>96.592981302310349</v>
      </c>
      <c r="I95">
        <f t="shared" si="11"/>
        <v>115.41265922146646</v>
      </c>
      <c r="J95">
        <f t="shared" si="12"/>
        <v>86.219122760113621</v>
      </c>
      <c r="K95">
        <f t="shared" si="13"/>
        <v>98.606142140597527</v>
      </c>
      <c r="L95">
        <f t="shared" si="14"/>
        <v>96.183831997144722</v>
      </c>
      <c r="M95">
        <f t="shared" si="15"/>
        <v>86.799279692557576</v>
      </c>
    </row>
    <row r="96" spans="4:13" x14ac:dyDescent="0.2">
      <c r="D96">
        <f t="shared" si="9"/>
        <v>108.39185220738263</v>
      </c>
      <c r="E96">
        <f t="shared" si="9"/>
        <v>106.68344000411155</v>
      </c>
      <c r="F96">
        <f t="shared" si="9"/>
        <v>103.37200496029229</v>
      </c>
      <c r="G96">
        <f t="shared" si="9"/>
        <v>89.412915216758648</v>
      </c>
      <c r="H96">
        <f t="shared" si="10"/>
        <v>95.29559912043517</v>
      </c>
      <c r="I96">
        <f t="shared" si="11"/>
        <v>111.0816137238829</v>
      </c>
      <c r="J96">
        <f t="shared" si="12"/>
        <v>85.618139502184235</v>
      </c>
      <c r="K96">
        <f t="shared" si="13"/>
        <v>99.007340250768024</v>
      </c>
      <c r="L96">
        <f t="shared" si="14"/>
        <v>96.86623917980944</v>
      </c>
      <c r="M96">
        <f t="shared" si="15"/>
        <v>85.615545402330355</v>
      </c>
    </row>
    <row r="97" spans="4:13" x14ac:dyDescent="0.2">
      <c r="D97">
        <f t="shared" si="9"/>
        <v>109.20028683950292</v>
      </c>
      <c r="E97">
        <f t="shared" si="9"/>
        <v>107.92895780294263</v>
      </c>
      <c r="F97">
        <f t="shared" si="9"/>
        <v>104.31543703298742</v>
      </c>
      <c r="G97">
        <f t="shared" si="9"/>
        <v>88.856099831850571</v>
      </c>
      <c r="H97">
        <f t="shared" si="10"/>
        <v>95.357963300057861</v>
      </c>
      <c r="I97">
        <f t="shared" si="11"/>
        <v>110.30280309860396</v>
      </c>
      <c r="J97">
        <f t="shared" si="12"/>
        <v>85.200202812523827</v>
      </c>
      <c r="K97">
        <f t="shared" si="13"/>
        <v>98.592750816891837</v>
      </c>
      <c r="L97">
        <f t="shared" si="14"/>
        <v>100.19934954078371</v>
      </c>
      <c r="M97">
        <f t="shared" si="15"/>
        <v>87.423704842176619</v>
      </c>
    </row>
    <row r="98" spans="4:13" x14ac:dyDescent="0.2">
      <c r="D98">
        <f t="shared" si="9"/>
        <v>107.22229729103461</v>
      </c>
      <c r="E98">
        <f t="shared" si="9"/>
        <v>107.44174339677039</v>
      </c>
      <c r="F98">
        <f t="shared" si="9"/>
        <v>103.09095870237388</v>
      </c>
      <c r="G98">
        <f t="shared" si="9"/>
        <v>88.807843755812627</v>
      </c>
      <c r="H98">
        <f t="shared" si="10"/>
        <v>95.094710310786439</v>
      </c>
      <c r="I98">
        <f t="shared" si="11"/>
        <v>111.03780324081754</v>
      </c>
      <c r="J98">
        <f t="shared" si="12"/>
        <v>85.494447417334612</v>
      </c>
      <c r="K98">
        <f t="shared" si="13"/>
        <v>99.594706277837432</v>
      </c>
      <c r="L98">
        <f t="shared" si="14"/>
        <v>99.353880660158367</v>
      </c>
      <c r="M98">
        <f t="shared" si="15"/>
        <v>89.248294727414276</v>
      </c>
    </row>
    <row r="99" spans="4:13" x14ac:dyDescent="0.2">
      <c r="D99">
        <f t="shared" si="9"/>
        <v>106.70500523608979</v>
      </c>
      <c r="E99">
        <f t="shared" si="9"/>
        <v>106.65809207615072</v>
      </c>
      <c r="F99">
        <f t="shared" si="9"/>
        <v>100.85447516344358</v>
      </c>
      <c r="G99">
        <f t="shared" si="9"/>
        <v>89.238761687378968</v>
      </c>
      <c r="H99">
        <f t="shared" si="10"/>
        <v>94.535365032720136</v>
      </c>
      <c r="I99">
        <f t="shared" si="11"/>
        <v>112.20014362148191</v>
      </c>
      <c r="J99">
        <f t="shared" si="12"/>
        <v>85.367074528285315</v>
      </c>
      <c r="K99">
        <f t="shared" si="13"/>
        <v>98.714075748225724</v>
      </c>
      <c r="L99">
        <f t="shared" si="14"/>
        <v>99.72122492506044</v>
      </c>
      <c r="M99">
        <f t="shared" si="15"/>
        <v>90.248705558251586</v>
      </c>
    </row>
    <row r="100" spans="4:13" x14ac:dyDescent="0.2">
      <c r="D100">
        <f t="shared" si="9"/>
        <v>106.87329085630003</v>
      </c>
      <c r="E100">
        <f t="shared" si="9"/>
        <v>106.67306383100666</v>
      </c>
      <c r="F100">
        <f t="shared" si="9"/>
        <v>100.59801631571187</v>
      </c>
      <c r="G100">
        <f t="shared" si="9"/>
        <v>87.861885966357121</v>
      </c>
      <c r="H100">
        <f t="shared" si="10"/>
        <v>94.707882769879419</v>
      </c>
      <c r="I100">
        <f t="shared" si="11"/>
        <v>112.79242091156677</v>
      </c>
      <c r="J100">
        <f t="shared" si="12"/>
        <v>87.383134253254909</v>
      </c>
      <c r="K100">
        <f t="shared" si="13"/>
        <v>96.891103629363741</v>
      </c>
      <c r="L100">
        <f t="shared" si="14"/>
        <v>99.130077867481944</v>
      </c>
      <c r="M100">
        <f t="shared" si="15"/>
        <v>90.523566845717781</v>
      </c>
    </row>
    <row r="101" spans="4:13" x14ac:dyDescent="0.2">
      <c r="D101">
        <f t="shared" si="9"/>
        <v>107.33035635581139</v>
      </c>
      <c r="E101">
        <f t="shared" si="9"/>
        <v>106.79214986328442</v>
      </c>
      <c r="F101">
        <f t="shared" si="9"/>
        <v>100.31350439429814</v>
      </c>
      <c r="G101">
        <f t="shared" si="9"/>
        <v>88.1555806940314</v>
      </c>
      <c r="H101">
        <f t="shared" si="10"/>
        <v>94.022652371568086</v>
      </c>
      <c r="I101">
        <f t="shared" si="11"/>
        <v>112.40575499575164</v>
      </c>
      <c r="J101">
        <f t="shared" si="12"/>
        <v>87.096436681195854</v>
      </c>
      <c r="K101">
        <f t="shared" si="13"/>
        <v>93.263648455175897</v>
      </c>
      <c r="L101">
        <f t="shared" si="14"/>
        <v>100.34522750271907</v>
      </c>
      <c r="M101">
        <f t="shared" si="15"/>
        <v>88.767021725263746</v>
      </c>
    </row>
    <row r="102" spans="4:13" x14ac:dyDescent="0.2">
      <c r="D102">
        <f t="shared" si="9"/>
        <v>107.40031278641973</v>
      </c>
      <c r="E102">
        <f t="shared" si="9"/>
        <v>108.21674302444552</v>
      </c>
      <c r="F102">
        <f t="shared" si="9"/>
        <v>101.44477400653524</v>
      </c>
      <c r="G102">
        <f t="shared" si="9"/>
        <v>86.564699954890443</v>
      </c>
      <c r="H102">
        <f t="shared" si="10"/>
        <v>94.805401803743578</v>
      </c>
      <c r="I102">
        <f t="shared" si="11"/>
        <v>109.53069400700232</v>
      </c>
      <c r="J102">
        <f t="shared" si="12"/>
        <v>85.904449677464584</v>
      </c>
      <c r="K102">
        <f t="shared" si="13"/>
        <v>93.134785403500445</v>
      </c>
      <c r="L102">
        <f t="shared" si="14"/>
        <v>101.57272077531712</v>
      </c>
      <c r="M102">
        <f t="shared" si="15"/>
        <v>87.95421476785198</v>
      </c>
    </row>
    <row r="103" spans="4:13" x14ac:dyDescent="0.2">
      <c r="D103">
        <f t="shared" si="9"/>
        <v>108.68475592934034</v>
      </c>
      <c r="E103">
        <f t="shared" si="9"/>
        <v>108.7119341308086</v>
      </c>
      <c r="F103">
        <f t="shared" si="9"/>
        <v>103.6348196653411</v>
      </c>
      <c r="G103">
        <f t="shared" si="9"/>
        <v>86.43472911484794</v>
      </c>
      <c r="H103">
        <f t="shared" si="10"/>
        <v>93.447264331130455</v>
      </c>
      <c r="I103">
        <f t="shared" si="11"/>
        <v>107.20146789772859</v>
      </c>
      <c r="J103">
        <f t="shared" si="12"/>
        <v>86.030885419129362</v>
      </c>
      <c r="K103">
        <f t="shared" si="13"/>
        <v>92.871326949001059</v>
      </c>
      <c r="L103">
        <f t="shared" si="14"/>
        <v>101.7114254410976</v>
      </c>
      <c r="M103">
        <f t="shared" si="15"/>
        <v>87.714240794401661</v>
      </c>
    </row>
    <row r="104" spans="4:13" x14ac:dyDescent="0.2">
      <c r="D104">
        <f t="shared" si="9"/>
        <v>110.89122432330223</v>
      </c>
      <c r="E104">
        <f t="shared" si="9"/>
        <v>110.75001894326049</v>
      </c>
      <c r="F104">
        <f t="shared" si="9"/>
        <v>102.98866872376391</v>
      </c>
      <c r="G104">
        <f t="shared" si="9"/>
        <v>87.027995311883672</v>
      </c>
      <c r="H104">
        <f t="shared" si="10"/>
        <v>93.217278414842525</v>
      </c>
      <c r="I104">
        <f t="shared" si="11"/>
        <v>107.37819982854106</v>
      </c>
      <c r="J104">
        <f t="shared" si="12"/>
        <v>84.404194693529959</v>
      </c>
      <c r="K104">
        <f t="shared" si="13"/>
        <v>93.296398791441504</v>
      </c>
      <c r="L104">
        <f t="shared" si="14"/>
        <v>102.3371578944662</v>
      </c>
      <c r="M104">
        <f t="shared" si="15"/>
        <v>88.339710481683085</v>
      </c>
    </row>
    <row r="105" spans="4:13" x14ac:dyDescent="0.2">
      <c r="D105">
        <f t="shared" si="9"/>
        <v>110.02873329128217</v>
      </c>
      <c r="E105">
        <f t="shared" si="9"/>
        <v>110.34278601835423</v>
      </c>
      <c r="F105">
        <f t="shared" si="9"/>
        <v>103.36785923592508</v>
      </c>
      <c r="G105">
        <f t="shared" si="9"/>
        <v>87.227622591216559</v>
      </c>
      <c r="H105">
        <f t="shared" si="10"/>
        <v>93.936481631732775</v>
      </c>
      <c r="I105">
        <f t="shared" si="11"/>
        <v>108.27951624657153</v>
      </c>
      <c r="J105">
        <f t="shared" si="12"/>
        <v>84.04488578639382</v>
      </c>
      <c r="K105">
        <f t="shared" si="13"/>
        <v>95.69848621325464</v>
      </c>
      <c r="L105">
        <f t="shared" si="14"/>
        <v>100.82941156667486</v>
      </c>
      <c r="M105">
        <f t="shared" si="15"/>
        <v>86.412393811852468</v>
      </c>
    </row>
    <row r="106" spans="4:13" x14ac:dyDescent="0.2">
      <c r="D106">
        <f t="shared" si="9"/>
        <v>110.13326883750075</v>
      </c>
      <c r="E106">
        <f t="shared" si="9"/>
        <v>109.25644994594076</v>
      </c>
      <c r="F106">
        <f t="shared" si="9"/>
        <v>103.81268114179872</v>
      </c>
      <c r="G106">
        <f t="shared" si="9"/>
        <v>85.44317547342753</v>
      </c>
      <c r="H106">
        <f t="shared" si="10"/>
        <v>94.733622266409554</v>
      </c>
      <c r="I106">
        <f t="shared" si="11"/>
        <v>108.5976457898394</v>
      </c>
      <c r="J106">
        <f t="shared" si="12"/>
        <v>81.323751913157565</v>
      </c>
      <c r="K106">
        <f t="shared" si="13"/>
        <v>96.256107255104723</v>
      </c>
      <c r="L106">
        <f t="shared" si="14"/>
        <v>101.51091155781052</v>
      </c>
      <c r="M106">
        <f t="shared" si="15"/>
        <v>88.355450906239241</v>
      </c>
    </row>
    <row r="107" spans="4:13" x14ac:dyDescent="0.2">
      <c r="D107">
        <f t="shared" si="9"/>
        <v>109.89432723771989</v>
      </c>
      <c r="E107">
        <f t="shared" si="9"/>
        <v>108.96326222833545</v>
      </c>
      <c r="F107">
        <f t="shared" si="9"/>
        <v>102.44556949860616</v>
      </c>
      <c r="G107">
        <f t="shared" si="9"/>
        <v>85.399683909276447</v>
      </c>
      <c r="H107">
        <f t="shared" si="10"/>
        <v>94.385097694237643</v>
      </c>
      <c r="I107">
        <f t="shared" si="11"/>
        <v>109.46585778673212</v>
      </c>
      <c r="J107">
        <f t="shared" si="12"/>
        <v>82.170729989113624</v>
      </c>
      <c r="K107">
        <f t="shared" si="13"/>
        <v>96.471084030256264</v>
      </c>
      <c r="L107">
        <f t="shared" si="14"/>
        <v>102.09199039462324</v>
      </c>
      <c r="M107">
        <f t="shared" si="15"/>
        <v>88.008087759711529</v>
      </c>
    </row>
    <row r="108" spans="4:13" x14ac:dyDescent="0.2">
      <c r="D108">
        <f t="shared" si="9"/>
        <v>110.8682658867056</v>
      </c>
      <c r="E108">
        <f t="shared" si="9"/>
        <v>107.37399360961538</v>
      </c>
      <c r="F108">
        <f t="shared" si="9"/>
        <v>102.06794691358778</v>
      </c>
      <c r="G108">
        <f t="shared" si="9"/>
        <v>86.094595574519644</v>
      </c>
      <c r="H108">
        <f t="shared" si="10"/>
        <v>94.089778847255687</v>
      </c>
      <c r="I108">
        <f t="shared" si="11"/>
        <v>109.77634182566756</v>
      </c>
      <c r="J108">
        <f t="shared" si="12"/>
        <v>81.380015392982571</v>
      </c>
      <c r="K108">
        <f t="shared" si="13"/>
        <v>97.503450895686171</v>
      </c>
      <c r="L108">
        <f t="shared" si="14"/>
        <v>101.80723207977371</v>
      </c>
      <c r="M108">
        <f t="shared" si="15"/>
        <v>87.421831013252685</v>
      </c>
    </row>
    <row r="109" spans="4:13" x14ac:dyDescent="0.2">
      <c r="D109">
        <f t="shared" si="9"/>
        <v>110.62000027873792</v>
      </c>
      <c r="E109">
        <f t="shared" si="9"/>
        <v>108.98437415345586</v>
      </c>
      <c r="F109">
        <f t="shared" si="9"/>
        <v>104.45541045087455</v>
      </c>
      <c r="G109">
        <f t="shared" si="9"/>
        <v>86.269359285991712</v>
      </c>
      <c r="H109">
        <f t="shared" si="10"/>
        <v>93.46605172992551</v>
      </c>
      <c r="I109">
        <f t="shared" si="11"/>
        <v>110.78783975249678</v>
      </c>
      <c r="J109">
        <f t="shared" si="12"/>
        <v>82.398587772759655</v>
      </c>
      <c r="K109">
        <f t="shared" si="13"/>
        <v>99.118891894977878</v>
      </c>
      <c r="L109">
        <f t="shared" si="14"/>
        <v>101.8906239277657</v>
      </c>
      <c r="M109">
        <f t="shared" si="15"/>
        <v>87.435590426184135</v>
      </c>
    </row>
    <row r="110" spans="4:13" x14ac:dyDescent="0.2">
      <c r="D110">
        <f t="shared" si="9"/>
        <v>112.87426272448873</v>
      </c>
      <c r="E110">
        <f t="shared" si="9"/>
        <v>108.91737547396596</v>
      </c>
      <c r="F110">
        <f t="shared" si="9"/>
        <v>105.43329252757223</v>
      </c>
      <c r="G110">
        <f t="shared" si="9"/>
        <v>86.073647072031264</v>
      </c>
      <c r="H110">
        <f t="shared" si="10"/>
        <v>94.423321018391334</v>
      </c>
      <c r="I110">
        <f t="shared" si="11"/>
        <v>113.34463943949918</v>
      </c>
      <c r="J110">
        <f t="shared" si="12"/>
        <v>82.896320419138377</v>
      </c>
      <c r="K110">
        <f t="shared" si="13"/>
        <v>96.240976126333734</v>
      </c>
      <c r="L110">
        <f t="shared" si="14"/>
        <v>103.12150636203968</v>
      </c>
      <c r="M110">
        <f t="shared" si="15"/>
        <v>89.731575577640768</v>
      </c>
    </row>
    <row r="111" spans="4:13" x14ac:dyDescent="0.2">
      <c r="D111">
        <f t="shared" si="9"/>
        <v>113.37728754864928</v>
      </c>
      <c r="E111">
        <f t="shared" si="9"/>
        <v>111.42887935485555</v>
      </c>
      <c r="F111">
        <f t="shared" si="9"/>
        <v>105.38618654724036</v>
      </c>
      <c r="G111">
        <f t="shared" si="9"/>
        <v>86.122731538818485</v>
      </c>
      <c r="H111">
        <f t="shared" si="10"/>
        <v>94.297413668283639</v>
      </c>
      <c r="I111">
        <f t="shared" si="11"/>
        <v>112.44621962839942</v>
      </c>
      <c r="J111">
        <f t="shared" si="12"/>
        <v>82.566626981267675</v>
      </c>
      <c r="K111">
        <f t="shared" si="13"/>
        <v>98.650375767839122</v>
      </c>
      <c r="L111">
        <f t="shared" si="14"/>
        <v>104.05294849061285</v>
      </c>
      <c r="M111">
        <f t="shared" si="15"/>
        <v>90.898383916562608</v>
      </c>
    </row>
    <row r="112" spans="4:13" x14ac:dyDescent="0.2">
      <c r="D112">
        <f t="shared" si="9"/>
        <v>112.99854528457101</v>
      </c>
      <c r="E112">
        <f t="shared" si="9"/>
        <v>111.22752444643859</v>
      </c>
      <c r="F112">
        <f t="shared" si="9"/>
        <v>105.53574763801727</v>
      </c>
      <c r="G112">
        <f t="shared" si="9"/>
        <v>86.312559062274133</v>
      </c>
      <c r="H112">
        <f t="shared" si="10"/>
        <v>94.249179681426028</v>
      </c>
      <c r="I112">
        <f t="shared" si="11"/>
        <v>113.83327412442942</v>
      </c>
      <c r="J112">
        <f t="shared" si="12"/>
        <v>81.683253051626977</v>
      </c>
      <c r="K112">
        <f t="shared" si="13"/>
        <v>97.703413954592392</v>
      </c>
      <c r="L112">
        <f t="shared" si="14"/>
        <v>105.31725896648116</v>
      </c>
      <c r="M112">
        <f t="shared" si="15"/>
        <v>89.400253400783839</v>
      </c>
    </row>
    <row r="113" spans="4:13" x14ac:dyDescent="0.2">
      <c r="D113">
        <f t="shared" si="9"/>
        <v>113.1621967582534</v>
      </c>
      <c r="E113">
        <f t="shared" si="9"/>
        <v>108.75752116222547</v>
      </c>
      <c r="F113">
        <f t="shared" si="9"/>
        <v>104.51461547153392</v>
      </c>
      <c r="G113">
        <f t="shared" si="9"/>
        <v>88.258701176170533</v>
      </c>
      <c r="H113">
        <f t="shared" si="10"/>
        <v>94.293226656391042</v>
      </c>
      <c r="I113">
        <f t="shared" si="11"/>
        <v>113.30951884096285</v>
      </c>
      <c r="J113">
        <f t="shared" si="12"/>
        <v>83.013295409050173</v>
      </c>
      <c r="K113">
        <f t="shared" si="13"/>
        <v>100.03286463228618</v>
      </c>
      <c r="L113">
        <f t="shared" si="14"/>
        <v>104.09448920716375</v>
      </c>
      <c r="M113">
        <f t="shared" si="15"/>
        <v>91.027323688033505</v>
      </c>
    </row>
    <row r="114" spans="4:13" x14ac:dyDescent="0.2">
      <c r="D114">
        <f t="shared" si="9"/>
        <v>110.82027336638357</v>
      </c>
      <c r="E114">
        <f t="shared" si="9"/>
        <v>108.49791020595895</v>
      </c>
      <c r="F114">
        <f t="shared" si="9"/>
        <v>104.4426050908354</v>
      </c>
      <c r="G114">
        <f t="shared" si="9"/>
        <v>89.819022206883446</v>
      </c>
      <c r="H114">
        <f t="shared" si="10"/>
        <v>93.760567857378973</v>
      </c>
      <c r="I114">
        <f t="shared" si="11"/>
        <v>114.72061458929424</v>
      </c>
      <c r="J114">
        <f t="shared" si="12"/>
        <v>84.225425465757695</v>
      </c>
      <c r="K114">
        <f t="shared" si="13"/>
        <v>100.0778170836398</v>
      </c>
      <c r="L114">
        <f t="shared" si="14"/>
        <v>104.14854999001531</v>
      </c>
      <c r="M114">
        <f t="shared" si="15"/>
        <v>91.199179031174722</v>
      </c>
    </row>
    <row r="115" spans="4:13" x14ac:dyDescent="0.2">
      <c r="D115">
        <f t="shared" si="9"/>
        <v>109.18450427131347</v>
      </c>
      <c r="E115">
        <f t="shared" si="9"/>
        <v>108.28243024392869</v>
      </c>
      <c r="F115">
        <f t="shared" si="9"/>
        <v>103.68932596839282</v>
      </c>
      <c r="G115">
        <f t="shared" si="9"/>
        <v>91.441935002629336</v>
      </c>
      <c r="H115">
        <f t="shared" si="10"/>
        <v>93.318708055047765</v>
      </c>
      <c r="I115">
        <f t="shared" si="11"/>
        <v>114.2972251006791</v>
      </c>
      <c r="J115">
        <f t="shared" si="12"/>
        <v>83.986144357021061</v>
      </c>
      <c r="K115">
        <f t="shared" si="13"/>
        <v>99.363897996169882</v>
      </c>
      <c r="L115">
        <f t="shared" si="14"/>
        <v>102.76151464029226</v>
      </c>
      <c r="M115">
        <f t="shared" si="15"/>
        <v>89.398397067264909</v>
      </c>
    </row>
    <row r="116" spans="4:13" x14ac:dyDescent="0.2">
      <c r="D116">
        <f t="shared" si="9"/>
        <v>111.41438069966328</v>
      </c>
      <c r="E116">
        <f t="shared" si="9"/>
        <v>107.518180099909</v>
      </c>
      <c r="F116">
        <f t="shared" si="9"/>
        <v>102.70640937642666</v>
      </c>
      <c r="G116">
        <f t="shared" si="9"/>
        <v>92.593100523827701</v>
      </c>
      <c r="H116">
        <f t="shared" si="10"/>
        <v>93.080526053889372</v>
      </c>
      <c r="I116">
        <f t="shared" si="11"/>
        <v>112.93037967582259</v>
      </c>
      <c r="J116">
        <f t="shared" si="12"/>
        <v>83.447238361055071</v>
      </c>
      <c r="K116">
        <f t="shared" si="13"/>
        <v>99.835955141134846</v>
      </c>
      <c r="L116">
        <f t="shared" si="14"/>
        <v>104.22008577635452</v>
      </c>
      <c r="M116">
        <f t="shared" si="15"/>
        <v>88.061155637770483</v>
      </c>
    </row>
    <row r="117" spans="4:13" x14ac:dyDescent="0.2">
      <c r="D117">
        <f t="shared" si="9"/>
        <v>112.5860101306256</v>
      </c>
      <c r="E117">
        <f t="shared" si="9"/>
        <v>104.35470700477744</v>
      </c>
      <c r="F117">
        <f t="shared" si="9"/>
        <v>102.9913862775078</v>
      </c>
      <c r="G117">
        <f t="shared" si="9"/>
        <v>95.532887886687661</v>
      </c>
      <c r="H117">
        <f t="shared" si="10"/>
        <v>94.553963719507706</v>
      </c>
      <c r="I117">
        <f t="shared" si="11"/>
        <v>111.33557853236549</v>
      </c>
      <c r="J117">
        <f t="shared" si="12"/>
        <v>83.702070307300488</v>
      </c>
      <c r="K117">
        <f t="shared" si="13"/>
        <v>100.18650438994818</v>
      </c>
      <c r="L117">
        <f t="shared" si="14"/>
        <v>104.26551799658061</v>
      </c>
      <c r="M117">
        <f t="shared" si="15"/>
        <v>88.852297486639898</v>
      </c>
    </row>
    <row r="118" spans="4:13" x14ac:dyDescent="0.2">
      <c r="D118">
        <f t="shared" si="9"/>
        <v>112.95522560163847</v>
      </c>
      <c r="E118">
        <f t="shared" si="9"/>
        <v>104.87102752402585</v>
      </c>
      <c r="F118">
        <f t="shared" si="9"/>
        <v>104.0086174540686</v>
      </c>
      <c r="G118">
        <f t="shared" si="9"/>
        <v>96.620686899332554</v>
      </c>
      <c r="H118">
        <f t="shared" si="10"/>
        <v>94.557420251437122</v>
      </c>
      <c r="I118">
        <f t="shared" si="11"/>
        <v>111.24366778677182</v>
      </c>
      <c r="J118">
        <f t="shared" si="12"/>
        <v>84.261399559889639</v>
      </c>
      <c r="K118">
        <f t="shared" si="13"/>
        <v>99.598753242349275</v>
      </c>
      <c r="L118">
        <f t="shared" si="14"/>
        <v>104.28427185750105</v>
      </c>
      <c r="M118">
        <f t="shared" si="15"/>
        <v>92.21191583089815</v>
      </c>
    </row>
    <row r="119" spans="4:13" x14ac:dyDescent="0.2">
      <c r="D119">
        <f t="shared" si="9"/>
        <v>113.16318155049022</v>
      </c>
      <c r="E119">
        <f t="shared" si="9"/>
        <v>103.31133856161229</v>
      </c>
      <c r="F119">
        <f t="shared" si="9"/>
        <v>106.2735040680668</v>
      </c>
      <c r="G119">
        <f t="shared" si="9"/>
        <v>95.588214620740544</v>
      </c>
      <c r="H119">
        <f t="shared" si="10"/>
        <v>94.666235316846524</v>
      </c>
      <c r="I119">
        <f t="shared" si="11"/>
        <v>109.44895063792433</v>
      </c>
      <c r="J119">
        <f t="shared" si="12"/>
        <v>84.288310247116925</v>
      </c>
      <c r="K119">
        <f t="shared" si="13"/>
        <v>99.763390615051762</v>
      </c>
      <c r="L119">
        <f t="shared" si="14"/>
        <v>103.18703150832457</v>
      </c>
      <c r="M119">
        <f t="shared" si="15"/>
        <v>92.563332791446882</v>
      </c>
    </row>
    <row r="120" spans="4:13" x14ac:dyDescent="0.2">
      <c r="D120">
        <f t="shared" si="9"/>
        <v>112.32519777022161</v>
      </c>
      <c r="E120">
        <f t="shared" si="9"/>
        <v>103.9136348385049</v>
      </c>
      <c r="F120">
        <f t="shared" si="9"/>
        <v>106.7362182931227</v>
      </c>
      <c r="G120">
        <f t="shared" si="9"/>
        <v>95.655995226345084</v>
      </c>
      <c r="H120">
        <f t="shared" si="10"/>
        <v>93.866493792286974</v>
      </c>
      <c r="I120">
        <f t="shared" si="11"/>
        <v>112.07635764760245</v>
      </c>
      <c r="J120">
        <f t="shared" si="12"/>
        <v>84.553702755296143</v>
      </c>
      <c r="K120">
        <f t="shared" si="13"/>
        <v>96.873978942396633</v>
      </c>
      <c r="L120">
        <f t="shared" si="14"/>
        <v>101.89415026317933</v>
      </c>
      <c r="M120">
        <f t="shared" si="15"/>
        <v>90.821062571073995</v>
      </c>
    </row>
    <row r="121" spans="4:13" x14ac:dyDescent="0.2">
      <c r="D121">
        <f t="shared" si="9"/>
        <v>113.01071859480209</v>
      </c>
      <c r="E121">
        <f t="shared" si="9"/>
        <v>102.92888739235063</v>
      </c>
      <c r="F121">
        <f t="shared" si="9"/>
        <v>107.07608208260305</v>
      </c>
      <c r="G121">
        <f t="shared" si="9"/>
        <v>95.73305406651663</v>
      </c>
      <c r="H121">
        <f t="shared" si="10"/>
        <v>92.582422720376002</v>
      </c>
      <c r="I121">
        <f t="shared" si="11"/>
        <v>112.46247395474332</v>
      </c>
      <c r="J121">
        <f t="shared" si="12"/>
        <v>83.170016309913436</v>
      </c>
      <c r="K121">
        <f t="shared" si="13"/>
        <v>98.631366325223595</v>
      </c>
      <c r="L121">
        <f t="shared" si="14"/>
        <v>100.93792271389964</v>
      </c>
      <c r="M121">
        <f t="shared" si="15"/>
        <v>89.202909670435361</v>
      </c>
    </row>
    <row r="122" spans="4:13" x14ac:dyDescent="0.2">
      <c r="D122">
        <f t="shared" si="9"/>
        <v>112.27463586028338</v>
      </c>
      <c r="E122">
        <f t="shared" si="9"/>
        <v>103.56200125256983</v>
      </c>
      <c r="F122">
        <f t="shared" si="9"/>
        <v>107.91925283461454</v>
      </c>
      <c r="G122">
        <f t="shared" si="9"/>
        <v>95.359550824871974</v>
      </c>
      <c r="H122">
        <f t="shared" si="10"/>
        <v>92.795060979142988</v>
      </c>
      <c r="I122">
        <f t="shared" si="11"/>
        <v>111.43665350962571</v>
      </c>
      <c r="J122">
        <f t="shared" si="12"/>
        <v>83.881562133221379</v>
      </c>
      <c r="K122">
        <f t="shared" si="13"/>
        <v>96.920313281932025</v>
      </c>
      <c r="L122">
        <f t="shared" si="14"/>
        <v>101.15540390509729</v>
      </c>
      <c r="M122">
        <f t="shared" si="15"/>
        <v>88.454779605945689</v>
      </c>
    </row>
    <row r="123" spans="4:13" x14ac:dyDescent="0.2">
      <c r="D123">
        <f t="shared" si="9"/>
        <v>110.38943977531981</v>
      </c>
      <c r="E123">
        <f t="shared" si="9"/>
        <v>103.54918221450096</v>
      </c>
      <c r="F123">
        <f t="shared" si="9"/>
        <v>108.86584841447795</v>
      </c>
      <c r="G123">
        <f t="shared" si="9"/>
        <v>95.95040825451477</v>
      </c>
      <c r="H123">
        <f t="shared" si="10"/>
        <v>94.266195487107737</v>
      </c>
      <c r="I123">
        <f t="shared" si="11"/>
        <v>110.21138654272474</v>
      </c>
      <c r="J123">
        <f t="shared" si="12"/>
        <v>83.375527781329367</v>
      </c>
      <c r="K123">
        <f t="shared" si="13"/>
        <v>98.328276489746372</v>
      </c>
      <c r="L123">
        <f t="shared" si="14"/>
        <v>102.29545413824438</v>
      </c>
      <c r="M123">
        <f t="shared" si="15"/>
        <v>88.537126199437793</v>
      </c>
    </row>
    <row r="124" spans="4:13" x14ac:dyDescent="0.2">
      <c r="D124">
        <f t="shared" si="9"/>
        <v>110.43495145224621</v>
      </c>
      <c r="E124">
        <f t="shared" si="9"/>
        <v>103.75175665497464</v>
      </c>
      <c r="F124">
        <f t="shared" si="9"/>
        <v>107.97015473395167</v>
      </c>
      <c r="G124">
        <f t="shared" si="9"/>
        <v>96.476871588820046</v>
      </c>
      <c r="H124">
        <f t="shared" si="10"/>
        <v>95.081931146751117</v>
      </c>
      <c r="I124">
        <f t="shared" si="11"/>
        <v>108.16072370806688</v>
      </c>
      <c r="J124">
        <f t="shared" si="12"/>
        <v>84.174066611772417</v>
      </c>
      <c r="K124">
        <f t="shared" si="13"/>
        <v>98.055214971019524</v>
      </c>
      <c r="L124">
        <f t="shared" si="14"/>
        <v>101.37196809168411</v>
      </c>
      <c r="M124">
        <f t="shared" si="15"/>
        <v>88.425353282707007</v>
      </c>
    </row>
    <row r="125" spans="4:13" x14ac:dyDescent="0.2">
      <c r="D125">
        <f t="shared" si="9"/>
        <v>113.13436919183182</v>
      </c>
      <c r="E125">
        <f t="shared" si="9"/>
        <v>103.19906105651698</v>
      </c>
      <c r="F125">
        <f t="shared" si="9"/>
        <v>108.80223531542549</v>
      </c>
      <c r="G125">
        <f t="shared" si="9"/>
        <v>95.251759720209009</v>
      </c>
      <c r="H125">
        <f t="shared" si="10"/>
        <v>98.044053239656236</v>
      </c>
      <c r="I125">
        <f t="shared" si="11"/>
        <v>109.11377937977367</v>
      </c>
      <c r="J125">
        <f t="shared" si="12"/>
        <v>84.264755270158361</v>
      </c>
      <c r="K125">
        <f t="shared" si="13"/>
        <v>98.795761280516885</v>
      </c>
      <c r="L125">
        <f t="shared" si="14"/>
        <v>100.27174546304808</v>
      </c>
      <c r="M125">
        <f t="shared" si="15"/>
        <v>88.362399849261834</v>
      </c>
    </row>
    <row r="126" spans="4:13" x14ac:dyDescent="0.2">
      <c r="D126">
        <f t="shared" si="9"/>
        <v>114.13806852285295</v>
      </c>
      <c r="E126">
        <f t="shared" si="9"/>
        <v>103.82407928430878</v>
      </c>
      <c r="F126">
        <f t="shared" si="9"/>
        <v>110.04405123131907</v>
      </c>
      <c r="G126">
        <f t="shared" si="9"/>
        <v>95.768781404711447</v>
      </c>
      <c r="H126">
        <f t="shared" si="10"/>
        <v>99.004080675624692</v>
      </c>
      <c r="I126">
        <f t="shared" si="11"/>
        <v>107.67901827126036</v>
      </c>
      <c r="J126">
        <f t="shared" si="12"/>
        <v>84.303605334768847</v>
      </c>
      <c r="K126">
        <f t="shared" si="13"/>
        <v>96.563065443707629</v>
      </c>
      <c r="L126">
        <f t="shared" si="14"/>
        <v>100.00893248879156</v>
      </c>
      <c r="M126">
        <f t="shared" si="15"/>
        <v>88.786362874207299</v>
      </c>
    </row>
    <row r="127" spans="4:13" x14ac:dyDescent="0.2">
      <c r="D127">
        <f t="shared" si="9"/>
        <v>114.42318424880503</v>
      </c>
      <c r="E127">
        <f t="shared" si="9"/>
        <v>103.88892221702802</v>
      </c>
      <c r="F127">
        <f t="shared" si="9"/>
        <v>108.31833297068042</v>
      </c>
      <c r="G127">
        <f t="shared" si="9"/>
        <v>95.600550112190476</v>
      </c>
      <c r="H127">
        <f t="shared" si="10"/>
        <v>98.356903883915777</v>
      </c>
      <c r="I127">
        <f t="shared" si="11"/>
        <v>109.29339180475216</v>
      </c>
      <c r="J127">
        <f t="shared" si="12"/>
        <v>83.016333577496312</v>
      </c>
      <c r="K127">
        <f t="shared" si="13"/>
        <v>95.412544192285694</v>
      </c>
      <c r="L127">
        <f t="shared" si="14"/>
        <v>97.222591079568332</v>
      </c>
      <c r="M127">
        <f t="shared" si="15"/>
        <v>87.52301966553749</v>
      </c>
    </row>
    <row r="128" spans="4:13" x14ac:dyDescent="0.2">
      <c r="D128">
        <f t="shared" si="9"/>
        <v>112.29801585299722</v>
      </c>
      <c r="E128">
        <f t="shared" si="9"/>
        <v>104.13578482148233</v>
      </c>
      <c r="F128">
        <f t="shared" si="9"/>
        <v>108.29641492121767</v>
      </c>
      <c r="G128">
        <f t="shared" si="9"/>
        <v>95.72119879979536</v>
      </c>
      <c r="H128">
        <f t="shared" si="10"/>
        <v>96.530134097994974</v>
      </c>
      <c r="I128">
        <f t="shared" si="11"/>
        <v>110.1289015313949</v>
      </c>
      <c r="J128">
        <f t="shared" si="12"/>
        <v>83.579264750595641</v>
      </c>
      <c r="K128">
        <f t="shared" si="13"/>
        <v>95.403443604508539</v>
      </c>
      <c r="L128">
        <f t="shared" si="14"/>
        <v>96.987126031661234</v>
      </c>
      <c r="M128">
        <f t="shared" si="15"/>
        <v>88.653888073969753</v>
      </c>
    </row>
    <row r="129" spans="4:13" x14ac:dyDescent="0.2">
      <c r="D129">
        <f t="shared" si="9"/>
        <v>112.79687681051537</v>
      </c>
      <c r="E129">
        <f t="shared" si="9"/>
        <v>103.54897013342691</v>
      </c>
      <c r="F129">
        <f t="shared" si="9"/>
        <v>111.61586989736968</v>
      </c>
      <c r="G129">
        <f t="shared" si="9"/>
        <v>97.846704875225385</v>
      </c>
      <c r="H129">
        <f t="shared" si="10"/>
        <v>95.105708074458633</v>
      </c>
      <c r="I129">
        <f t="shared" si="11"/>
        <v>109.59602612055163</v>
      </c>
      <c r="J129">
        <f t="shared" si="12"/>
        <v>83.907522044353797</v>
      </c>
      <c r="K129">
        <f t="shared" si="13"/>
        <v>96.025730592530664</v>
      </c>
      <c r="L129">
        <f t="shared" si="14"/>
        <v>97.759856418832669</v>
      </c>
      <c r="M129">
        <f t="shared" si="15"/>
        <v>88.71546725281523</v>
      </c>
    </row>
    <row r="130" spans="4:13" x14ac:dyDescent="0.2">
      <c r="D130">
        <f t="shared" si="9"/>
        <v>112.66153656076216</v>
      </c>
      <c r="E130">
        <f t="shared" si="9"/>
        <v>101.03789780958731</v>
      </c>
      <c r="F130">
        <f t="shared" si="9"/>
        <v>110.75128977256604</v>
      </c>
      <c r="G130">
        <f t="shared" si="9"/>
        <v>99.013731350717947</v>
      </c>
      <c r="H130">
        <f t="shared" si="10"/>
        <v>96.498539938143125</v>
      </c>
      <c r="I130">
        <f t="shared" si="11"/>
        <v>109.14313652112868</v>
      </c>
      <c r="J130">
        <f t="shared" si="12"/>
        <v>83.929372094374074</v>
      </c>
      <c r="K130">
        <f t="shared" si="13"/>
        <v>96.463287969803375</v>
      </c>
      <c r="L130">
        <f t="shared" si="14"/>
        <v>98.535999984452388</v>
      </c>
      <c r="M130">
        <f t="shared" si="15"/>
        <v>89.124434273230307</v>
      </c>
    </row>
    <row r="131" spans="4:13" x14ac:dyDescent="0.2">
      <c r="D131">
        <f t="shared" si="9"/>
        <v>112.59970217176891</v>
      </c>
      <c r="E131">
        <f t="shared" si="9"/>
        <v>99.343538072277568</v>
      </c>
      <c r="F131">
        <f t="shared" si="9"/>
        <v>111.31276374136489</v>
      </c>
      <c r="G131">
        <f t="shared" si="9"/>
        <v>97.869669722484673</v>
      </c>
      <c r="H131">
        <f t="shared" si="10"/>
        <v>97.318436322153602</v>
      </c>
      <c r="I131">
        <f t="shared" si="11"/>
        <v>109.45181058045141</v>
      </c>
      <c r="J131">
        <f t="shared" si="12"/>
        <v>85.165304926630327</v>
      </c>
      <c r="K131">
        <f t="shared" si="13"/>
        <v>95.979120071375348</v>
      </c>
      <c r="L131">
        <f t="shared" si="14"/>
        <v>98.086345283398117</v>
      </c>
      <c r="M131">
        <f t="shared" si="15"/>
        <v>89.027119524366512</v>
      </c>
    </row>
    <row r="132" spans="4:13" x14ac:dyDescent="0.2">
      <c r="D132">
        <f t="shared" si="9"/>
        <v>113.99259922081539</v>
      </c>
      <c r="E132">
        <f t="shared" si="9"/>
        <v>99.92309491210078</v>
      </c>
      <c r="F132">
        <f t="shared" si="9"/>
        <v>110.33071156342889</v>
      </c>
      <c r="G132">
        <f t="shared" si="9"/>
        <v>96.649337473388599</v>
      </c>
      <c r="H132">
        <f t="shared" si="10"/>
        <v>96.550456722579057</v>
      </c>
      <c r="I132">
        <f t="shared" si="11"/>
        <v>108.96459258537359</v>
      </c>
      <c r="J132">
        <f t="shared" si="12"/>
        <v>84.00479969531338</v>
      </c>
      <c r="K132">
        <f t="shared" si="13"/>
        <v>96.837319491931538</v>
      </c>
      <c r="L132">
        <f t="shared" si="14"/>
        <v>100.4190169467511</v>
      </c>
      <c r="M132">
        <f t="shared" si="15"/>
        <v>88.918081563044225</v>
      </c>
    </row>
    <row r="133" spans="4:13" x14ac:dyDescent="0.2">
      <c r="D133">
        <f t="shared" si="9"/>
        <v>112.72307205173419</v>
      </c>
      <c r="E133">
        <f t="shared" si="9"/>
        <v>98.899024904368304</v>
      </c>
      <c r="F133">
        <f t="shared" si="9"/>
        <v>110.88450200863826</v>
      </c>
      <c r="G133">
        <f t="shared" si="9"/>
        <v>97.761509814580918</v>
      </c>
      <c r="H133">
        <f t="shared" si="10"/>
        <v>94.070327759437234</v>
      </c>
      <c r="I133">
        <f t="shared" si="11"/>
        <v>110.59949034434776</v>
      </c>
      <c r="J133">
        <f t="shared" si="12"/>
        <v>85.006084952597632</v>
      </c>
      <c r="K133">
        <f t="shared" si="13"/>
        <v>97.283180642036569</v>
      </c>
      <c r="L133">
        <f t="shared" si="14"/>
        <v>101.26992913590635</v>
      </c>
      <c r="M133">
        <f t="shared" si="15"/>
        <v>89.432592835509283</v>
      </c>
    </row>
    <row r="134" spans="4:13" x14ac:dyDescent="0.2">
      <c r="D134">
        <f t="shared" si="9"/>
        <v>112.51292912082299</v>
      </c>
      <c r="E134">
        <f t="shared" si="9"/>
        <v>98.346206653505959</v>
      </c>
      <c r="F134">
        <f t="shared" si="9"/>
        <v>113.81054115236934</v>
      </c>
      <c r="G134">
        <f t="shared" si="9"/>
        <v>97.799523019161128</v>
      </c>
      <c r="H134">
        <f t="shared" si="10"/>
        <v>92.163609058955558</v>
      </c>
      <c r="I134">
        <f t="shared" si="11"/>
        <v>111.49823066105385</v>
      </c>
      <c r="J134">
        <f t="shared" si="12"/>
        <v>84.398099949829756</v>
      </c>
      <c r="K134">
        <f t="shared" si="13"/>
        <v>96.925827673855707</v>
      </c>
      <c r="L134">
        <f t="shared" si="14"/>
        <v>100.13620031256583</v>
      </c>
      <c r="M134">
        <f t="shared" si="15"/>
        <v>89.555814727543947</v>
      </c>
    </row>
    <row r="135" spans="4:13" x14ac:dyDescent="0.2">
      <c r="D135">
        <f t="shared" si="9"/>
        <v>111.97980661378223</v>
      </c>
      <c r="E135">
        <f t="shared" si="9"/>
        <v>98.48804101288286</v>
      </c>
      <c r="F135">
        <f t="shared" si="9"/>
        <v>113.59594906830002</v>
      </c>
      <c r="G135">
        <f t="shared" si="9"/>
        <v>97.559979469242393</v>
      </c>
      <c r="H135">
        <f t="shared" si="10"/>
        <v>91.243372309148157</v>
      </c>
      <c r="I135">
        <f t="shared" si="11"/>
        <v>110.78449614697152</v>
      </c>
      <c r="J135">
        <f t="shared" si="12"/>
        <v>85.091537482543927</v>
      </c>
      <c r="K135">
        <f t="shared" si="13"/>
        <v>97.110990391019797</v>
      </c>
      <c r="L135">
        <f t="shared" si="14"/>
        <v>98.392581808154503</v>
      </c>
      <c r="M135">
        <f t="shared" si="15"/>
        <v>87.927326804377188</v>
      </c>
    </row>
    <row r="136" spans="4:13" x14ac:dyDescent="0.2">
      <c r="D136">
        <f t="shared" si="9"/>
        <v>110.11499418797538</v>
      </c>
      <c r="E136">
        <f t="shared" si="9"/>
        <v>98.275683649392462</v>
      </c>
      <c r="F136">
        <f t="shared" si="9"/>
        <v>113.58115622382603</v>
      </c>
      <c r="G136">
        <f t="shared" si="9"/>
        <v>98.546836418131477</v>
      </c>
      <c r="H136">
        <f t="shared" si="10"/>
        <v>92.053992516175839</v>
      </c>
      <c r="I136">
        <f t="shared" si="11"/>
        <v>109.47951985317236</v>
      </c>
      <c r="J136">
        <f t="shared" si="12"/>
        <v>85.419251705761113</v>
      </c>
      <c r="K136">
        <f t="shared" si="13"/>
        <v>96.388342766755315</v>
      </c>
      <c r="L136">
        <f t="shared" si="14"/>
        <v>98.563720597762995</v>
      </c>
      <c r="M136">
        <f t="shared" si="15"/>
        <v>88.654248061906344</v>
      </c>
    </row>
    <row r="137" spans="4:13" x14ac:dyDescent="0.2">
      <c r="D137">
        <f t="shared" si="9"/>
        <v>107.56023858878058</v>
      </c>
      <c r="E137">
        <f t="shared" si="9"/>
        <v>97.918089388143116</v>
      </c>
      <c r="F137">
        <f t="shared" si="9"/>
        <v>112.55176968380162</v>
      </c>
      <c r="G137">
        <f t="shared" ref="G137:G200" si="16">Traj(G136,$D$2,$D$3,$D$4,$D$5)</f>
        <v>98.962292801884843</v>
      </c>
      <c r="H137">
        <f t="shared" si="10"/>
        <v>90.790877365865072</v>
      </c>
      <c r="I137">
        <f t="shared" si="11"/>
        <v>110.13472030091684</v>
      </c>
      <c r="J137">
        <f t="shared" si="12"/>
        <v>87.163903000483629</v>
      </c>
      <c r="K137">
        <f t="shared" si="13"/>
        <v>96.338378267113612</v>
      </c>
      <c r="L137">
        <f t="shared" si="14"/>
        <v>98.766896618765927</v>
      </c>
      <c r="M137">
        <f t="shared" si="15"/>
        <v>89.350504351159131</v>
      </c>
    </row>
    <row r="138" spans="4:13" x14ac:dyDescent="0.2">
      <c r="D138">
        <f t="shared" ref="D138:G201" si="17">Traj(D137,$D$2,$D$3,$D$4,$D$5)</f>
        <v>106.94681096049599</v>
      </c>
      <c r="E138">
        <f t="shared" si="17"/>
        <v>95.610221604515047</v>
      </c>
      <c r="F138">
        <f t="shared" si="17"/>
        <v>112.60548313498288</v>
      </c>
      <c r="G138">
        <f t="shared" si="16"/>
        <v>100.67630134904083</v>
      </c>
      <c r="H138">
        <f t="shared" ref="H138:H201" si="18">Traj(H137,$D$2,$D$3,$D$4,$D$5)</f>
        <v>91.21523987266454</v>
      </c>
      <c r="I138">
        <f t="shared" ref="I138:I201" si="19">Traj(I137,$D$2,$D$3,$D$4,$D$5)</f>
        <v>110.54611082681657</v>
      </c>
      <c r="J138">
        <f t="shared" ref="J138:J201" si="20">Traj(J137,$D$2,$D$3,$D$4,$D$5)</f>
        <v>88.105857909110426</v>
      </c>
      <c r="K138">
        <f t="shared" ref="K138:K201" si="21">Traj(K137,$D$2,$D$3,$D$4,$D$5)</f>
        <v>97.272121949860946</v>
      </c>
      <c r="L138">
        <f t="shared" ref="L138:L201" si="22">Traj(L137,$D$2,$D$3,$D$4,$D$5)</f>
        <v>99.593644942052123</v>
      </c>
      <c r="M138">
        <f t="shared" ref="M138:M201" si="23">Traj(M137,$D$2,$D$3,$D$4,$D$5)</f>
        <v>90.55261385624614</v>
      </c>
    </row>
    <row r="139" spans="4:13" x14ac:dyDescent="0.2">
      <c r="D139">
        <f t="shared" si="17"/>
        <v>109.76316286860413</v>
      </c>
      <c r="E139">
        <f t="shared" si="17"/>
        <v>95.113352479011269</v>
      </c>
      <c r="F139">
        <f t="shared" si="17"/>
        <v>114.08587890690663</v>
      </c>
      <c r="G139">
        <f t="shared" si="16"/>
        <v>98.576297387665917</v>
      </c>
      <c r="H139">
        <f t="shared" si="18"/>
        <v>91.100243163366216</v>
      </c>
      <c r="I139">
        <f t="shared" si="19"/>
        <v>109.25187158552312</v>
      </c>
      <c r="J139">
        <f t="shared" si="20"/>
        <v>88.01391152920101</v>
      </c>
      <c r="K139">
        <f t="shared" si="21"/>
        <v>97.252558040705978</v>
      </c>
      <c r="L139">
        <f t="shared" si="22"/>
        <v>96.83594321484604</v>
      </c>
      <c r="M139">
        <f t="shared" si="23"/>
        <v>91.479202388020127</v>
      </c>
    </row>
    <row r="140" spans="4:13" x14ac:dyDescent="0.2">
      <c r="D140">
        <f t="shared" si="17"/>
        <v>112.24730325009007</v>
      </c>
      <c r="E140">
        <f t="shared" si="17"/>
        <v>96.698160281548013</v>
      </c>
      <c r="F140">
        <f t="shared" si="17"/>
        <v>114.48677528169934</v>
      </c>
      <c r="G140">
        <f t="shared" si="16"/>
        <v>98.332002290441181</v>
      </c>
      <c r="H140">
        <f t="shared" si="18"/>
        <v>91.143505603169174</v>
      </c>
      <c r="I140">
        <f t="shared" si="19"/>
        <v>110.65716587403709</v>
      </c>
      <c r="J140">
        <f t="shared" si="20"/>
        <v>87.116267970112105</v>
      </c>
      <c r="K140">
        <f t="shared" si="21"/>
        <v>99.372755104635942</v>
      </c>
      <c r="L140">
        <f t="shared" si="22"/>
        <v>95.837228444347744</v>
      </c>
      <c r="M140">
        <f t="shared" si="23"/>
        <v>91.582934313754691</v>
      </c>
    </row>
    <row r="141" spans="4:13" x14ac:dyDescent="0.2">
      <c r="D141">
        <f t="shared" si="17"/>
        <v>108.99103839703812</v>
      </c>
      <c r="E141">
        <f t="shared" si="17"/>
        <v>96.547466028339613</v>
      </c>
      <c r="F141">
        <f t="shared" si="17"/>
        <v>115.29918887709754</v>
      </c>
      <c r="G141">
        <f t="shared" si="16"/>
        <v>96.155003246346709</v>
      </c>
      <c r="H141">
        <f t="shared" si="18"/>
        <v>90.686456251293677</v>
      </c>
      <c r="I141">
        <f t="shared" si="19"/>
        <v>110.97686702966311</v>
      </c>
      <c r="J141">
        <f t="shared" si="20"/>
        <v>85.099646821773064</v>
      </c>
      <c r="K141">
        <f t="shared" si="21"/>
        <v>99.336017691907557</v>
      </c>
      <c r="L141">
        <f t="shared" si="22"/>
        <v>96.724329706477377</v>
      </c>
      <c r="M141">
        <f t="shared" si="23"/>
        <v>90.253271866805022</v>
      </c>
    </row>
    <row r="142" spans="4:13" x14ac:dyDescent="0.2">
      <c r="D142">
        <f t="shared" si="17"/>
        <v>107.47459375287352</v>
      </c>
      <c r="E142">
        <f t="shared" si="17"/>
        <v>96.520584697538879</v>
      </c>
      <c r="F142">
        <f t="shared" si="17"/>
        <v>116.03532911052309</v>
      </c>
      <c r="G142">
        <f t="shared" si="16"/>
        <v>97.725107390103901</v>
      </c>
      <c r="H142">
        <f t="shared" si="18"/>
        <v>90.967637346686445</v>
      </c>
      <c r="I142">
        <f t="shared" si="19"/>
        <v>111.23345754907173</v>
      </c>
      <c r="J142">
        <f t="shared" si="20"/>
        <v>86.931600357294286</v>
      </c>
      <c r="K142">
        <f t="shared" si="21"/>
        <v>98.737186005069105</v>
      </c>
      <c r="L142">
        <f t="shared" si="22"/>
        <v>96.879029750998839</v>
      </c>
      <c r="M142">
        <f t="shared" si="23"/>
        <v>87.693596000412768</v>
      </c>
    </row>
    <row r="143" spans="4:13" x14ac:dyDescent="0.2">
      <c r="D143">
        <f t="shared" si="17"/>
        <v>106.30681506546486</v>
      </c>
      <c r="E143">
        <f t="shared" si="17"/>
        <v>95.10682958767066</v>
      </c>
      <c r="F143">
        <f t="shared" si="17"/>
        <v>112.91821817979927</v>
      </c>
      <c r="G143">
        <f t="shared" si="16"/>
        <v>97.483992531226335</v>
      </c>
      <c r="H143">
        <f t="shared" si="18"/>
        <v>91.516165432443145</v>
      </c>
      <c r="I143">
        <f t="shared" si="19"/>
        <v>113.46168377963724</v>
      </c>
      <c r="J143">
        <f t="shared" si="20"/>
        <v>86.956548516981201</v>
      </c>
      <c r="K143">
        <f t="shared" si="21"/>
        <v>97.895011828937939</v>
      </c>
      <c r="L143">
        <f t="shared" si="22"/>
        <v>97.618354168246654</v>
      </c>
      <c r="M143">
        <f t="shared" si="23"/>
        <v>88.506274012285402</v>
      </c>
    </row>
    <row r="144" spans="4:13" x14ac:dyDescent="0.2">
      <c r="D144">
        <f t="shared" si="17"/>
        <v>108.46553084576209</v>
      </c>
      <c r="E144">
        <f t="shared" si="17"/>
        <v>95.002021071844055</v>
      </c>
      <c r="F144">
        <f t="shared" si="17"/>
        <v>112.24580329045367</v>
      </c>
      <c r="G144">
        <f t="shared" si="16"/>
        <v>97.981356254779968</v>
      </c>
      <c r="H144">
        <f t="shared" si="18"/>
        <v>90.67262450948931</v>
      </c>
      <c r="I144">
        <f t="shared" si="19"/>
        <v>113.74219716574235</v>
      </c>
      <c r="J144">
        <f t="shared" si="20"/>
        <v>88.659990464947569</v>
      </c>
      <c r="K144">
        <f t="shared" si="21"/>
        <v>99.428773964906441</v>
      </c>
      <c r="L144">
        <f t="shared" si="22"/>
        <v>96.854916462910239</v>
      </c>
      <c r="M144">
        <f t="shared" si="23"/>
        <v>86.849251848424345</v>
      </c>
    </row>
    <row r="145" spans="4:13" x14ac:dyDescent="0.2">
      <c r="D145">
        <f t="shared" si="17"/>
        <v>107.06103757959112</v>
      </c>
      <c r="E145">
        <f t="shared" si="17"/>
        <v>94.596526287931141</v>
      </c>
      <c r="F145">
        <f t="shared" si="17"/>
        <v>112.69152153906975</v>
      </c>
      <c r="G145">
        <f t="shared" si="16"/>
        <v>99.194817800063817</v>
      </c>
      <c r="H145">
        <f t="shared" si="18"/>
        <v>90.899654151113154</v>
      </c>
      <c r="I145">
        <f t="shared" si="19"/>
        <v>113.65835705964288</v>
      </c>
      <c r="J145">
        <f t="shared" si="20"/>
        <v>89.558645135525936</v>
      </c>
      <c r="K145">
        <f t="shared" si="21"/>
        <v>97.89139706021048</v>
      </c>
      <c r="L145">
        <f t="shared" si="22"/>
        <v>98.036162091720612</v>
      </c>
      <c r="M145">
        <f t="shared" si="23"/>
        <v>85.808304095080132</v>
      </c>
    </row>
    <row r="146" spans="4:13" x14ac:dyDescent="0.2">
      <c r="D146">
        <f t="shared" si="17"/>
        <v>107.37533366790923</v>
      </c>
      <c r="E146">
        <f t="shared" si="17"/>
        <v>95.51067143334528</v>
      </c>
      <c r="F146">
        <f t="shared" si="17"/>
        <v>113.06572646623323</v>
      </c>
      <c r="G146">
        <f t="shared" si="16"/>
        <v>100.43702049940923</v>
      </c>
      <c r="H146">
        <f t="shared" si="18"/>
        <v>89.457904066883657</v>
      </c>
      <c r="I146">
        <f t="shared" si="19"/>
        <v>112.86808445925739</v>
      </c>
      <c r="J146">
        <f t="shared" si="20"/>
        <v>89.074177435177404</v>
      </c>
      <c r="K146">
        <f t="shared" si="21"/>
        <v>100.08414478475947</v>
      </c>
      <c r="L146">
        <f t="shared" si="22"/>
        <v>99.971247479553185</v>
      </c>
      <c r="M146">
        <f t="shared" si="23"/>
        <v>85.841669333718812</v>
      </c>
    </row>
    <row r="147" spans="4:13" x14ac:dyDescent="0.2">
      <c r="D147">
        <f t="shared" si="17"/>
        <v>109.09601960633272</v>
      </c>
      <c r="E147">
        <f t="shared" si="17"/>
        <v>95.215968050850904</v>
      </c>
      <c r="F147">
        <f t="shared" si="17"/>
        <v>114.58668351213809</v>
      </c>
      <c r="G147">
        <f t="shared" si="16"/>
        <v>101.08008818458805</v>
      </c>
      <c r="H147">
        <f t="shared" si="18"/>
        <v>88.922319551610599</v>
      </c>
      <c r="I147">
        <f t="shared" si="19"/>
        <v>114.80207602441045</v>
      </c>
      <c r="J147">
        <f t="shared" si="20"/>
        <v>92.219599770658803</v>
      </c>
      <c r="K147">
        <f t="shared" si="21"/>
        <v>100.00457993190818</v>
      </c>
      <c r="L147">
        <f t="shared" si="22"/>
        <v>100.30236233640363</v>
      </c>
      <c r="M147">
        <f t="shared" si="23"/>
        <v>84.884018167662944</v>
      </c>
    </row>
    <row r="148" spans="4:13" x14ac:dyDescent="0.2">
      <c r="D148">
        <f t="shared" si="17"/>
        <v>108.65579076410151</v>
      </c>
      <c r="E148">
        <f t="shared" si="17"/>
        <v>95.83590628745182</v>
      </c>
      <c r="F148">
        <f t="shared" si="17"/>
        <v>116.83001741497321</v>
      </c>
      <c r="G148">
        <f t="shared" si="16"/>
        <v>100.27347926657036</v>
      </c>
      <c r="H148">
        <f t="shared" si="18"/>
        <v>87.321850898598342</v>
      </c>
      <c r="I148">
        <f t="shared" si="19"/>
        <v>115.51287692145856</v>
      </c>
      <c r="J148">
        <f t="shared" si="20"/>
        <v>91.443747574844551</v>
      </c>
      <c r="K148">
        <f t="shared" si="21"/>
        <v>100.27580872316572</v>
      </c>
      <c r="L148">
        <f t="shared" si="22"/>
        <v>101.18782193869789</v>
      </c>
      <c r="M148">
        <f t="shared" si="23"/>
        <v>86.120932377151789</v>
      </c>
    </row>
    <row r="149" spans="4:13" x14ac:dyDescent="0.2">
      <c r="D149">
        <f t="shared" si="17"/>
        <v>109.59585218893076</v>
      </c>
      <c r="E149">
        <f t="shared" si="17"/>
        <v>92.986004488288671</v>
      </c>
      <c r="F149">
        <f t="shared" si="17"/>
        <v>116.68380336188198</v>
      </c>
      <c r="G149">
        <f t="shared" si="16"/>
        <v>101.30399691351474</v>
      </c>
      <c r="H149">
        <f t="shared" si="18"/>
        <v>86.508126957713145</v>
      </c>
      <c r="I149">
        <f t="shared" si="19"/>
        <v>112.1849679135195</v>
      </c>
      <c r="J149">
        <f t="shared" si="20"/>
        <v>94.424365741493489</v>
      </c>
      <c r="K149">
        <f t="shared" si="21"/>
        <v>100.42879936003816</v>
      </c>
      <c r="L149">
        <f t="shared" si="22"/>
        <v>102.04526607354359</v>
      </c>
      <c r="M149">
        <f t="shared" si="23"/>
        <v>85.337442856315675</v>
      </c>
    </row>
    <row r="150" spans="4:13" x14ac:dyDescent="0.2">
      <c r="D150">
        <f t="shared" si="17"/>
        <v>108.72289317039414</v>
      </c>
      <c r="E150">
        <f t="shared" si="17"/>
        <v>94.475844959128523</v>
      </c>
      <c r="F150">
        <f t="shared" si="17"/>
        <v>118.6900808386639</v>
      </c>
      <c r="G150">
        <f t="shared" si="16"/>
        <v>102.58613638193481</v>
      </c>
      <c r="H150">
        <f t="shared" si="18"/>
        <v>85.048115175757999</v>
      </c>
      <c r="I150">
        <f t="shared" si="19"/>
        <v>111.69924980114392</v>
      </c>
      <c r="J150">
        <f t="shared" si="20"/>
        <v>93.515440573721804</v>
      </c>
      <c r="K150">
        <f t="shared" si="21"/>
        <v>102.91561555390925</v>
      </c>
      <c r="L150">
        <f t="shared" si="22"/>
        <v>100.673790580625</v>
      </c>
      <c r="M150">
        <f t="shared" si="23"/>
        <v>87.10536446631636</v>
      </c>
    </row>
    <row r="151" spans="4:13" x14ac:dyDescent="0.2">
      <c r="D151">
        <f t="shared" si="17"/>
        <v>111.00384507134903</v>
      </c>
      <c r="E151">
        <f t="shared" si="17"/>
        <v>95.075045951994213</v>
      </c>
      <c r="F151">
        <f t="shared" si="17"/>
        <v>118.01091722590201</v>
      </c>
      <c r="G151">
        <f t="shared" si="16"/>
        <v>103.00927241028775</v>
      </c>
      <c r="H151">
        <f t="shared" si="18"/>
        <v>85.660768907062646</v>
      </c>
      <c r="I151">
        <f t="shared" si="19"/>
        <v>112.81796838164533</v>
      </c>
      <c r="J151">
        <f t="shared" si="20"/>
        <v>92.071309735165286</v>
      </c>
      <c r="K151">
        <f t="shared" si="21"/>
        <v>102.36184871259003</v>
      </c>
      <c r="L151">
        <f t="shared" si="22"/>
        <v>101.09656317794354</v>
      </c>
      <c r="M151">
        <f t="shared" si="23"/>
        <v>87.977784603764519</v>
      </c>
    </row>
    <row r="152" spans="4:13" x14ac:dyDescent="0.2">
      <c r="D152">
        <f t="shared" si="17"/>
        <v>109.36218928407767</v>
      </c>
      <c r="E152">
        <f t="shared" si="17"/>
        <v>94.970934960125334</v>
      </c>
      <c r="F152">
        <f t="shared" si="17"/>
        <v>115.81754436303508</v>
      </c>
      <c r="G152">
        <f t="shared" si="16"/>
        <v>103.01598871308148</v>
      </c>
      <c r="H152">
        <f t="shared" si="18"/>
        <v>83.362353037022558</v>
      </c>
      <c r="I152">
        <f t="shared" si="19"/>
        <v>113.90229131545021</v>
      </c>
      <c r="J152">
        <f t="shared" si="20"/>
        <v>93.702574917715637</v>
      </c>
      <c r="K152">
        <f t="shared" si="21"/>
        <v>102.04082931244362</v>
      </c>
      <c r="L152">
        <f t="shared" si="22"/>
        <v>101.43013565435163</v>
      </c>
      <c r="M152">
        <f t="shared" si="23"/>
        <v>86.748730269872027</v>
      </c>
    </row>
    <row r="153" spans="4:13" x14ac:dyDescent="0.2">
      <c r="D153">
        <f t="shared" si="17"/>
        <v>108.67865151228958</v>
      </c>
      <c r="E153">
        <f t="shared" si="17"/>
        <v>95.367671072799141</v>
      </c>
      <c r="F153">
        <f t="shared" si="17"/>
        <v>115.02157406787599</v>
      </c>
      <c r="G153">
        <f t="shared" si="16"/>
        <v>103.9465177338752</v>
      </c>
      <c r="H153">
        <f t="shared" si="18"/>
        <v>81.17572046293094</v>
      </c>
      <c r="I153">
        <f t="shared" si="19"/>
        <v>113.75991874790741</v>
      </c>
      <c r="J153">
        <f t="shared" si="20"/>
        <v>93.226902941883054</v>
      </c>
      <c r="K153">
        <f t="shared" si="21"/>
        <v>101.91033248399216</v>
      </c>
      <c r="L153">
        <f t="shared" si="22"/>
        <v>102.03534025235167</v>
      </c>
      <c r="M153">
        <f t="shared" si="23"/>
        <v>87.213124198916631</v>
      </c>
    </row>
    <row r="154" spans="4:13" x14ac:dyDescent="0.2">
      <c r="D154">
        <f t="shared" si="17"/>
        <v>111.56576783783019</v>
      </c>
      <c r="E154">
        <f t="shared" si="17"/>
        <v>96.017374843101194</v>
      </c>
      <c r="F154">
        <f t="shared" si="17"/>
        <v>112.71538307168326</v>
      </c>
      <c r="G154">
        <f t="shared" si="16"/>
        <v>103.44775790955424</v>
      </c>
      <c r="H154">
        <f t="shared" si="18"/>
        <v>80.330520765533279</v>
      </c>
      <c r="I154">
        <f t="shared" si="19"/>
        <v>112.78560698484401</v>
      </c>
      <c r="J154">
        <f t="shared" si="20"/>
        <v>93.633289251389428</v>
      </c>
      <c r="K154">
        <f t="shared" si="21"/>
        <v>102.4073295118838</v>
      </c>
      <c r="L154">
        <f t="shared" si="22"/>
        <v>103.06831930732822</v>
      </c>
      <c r="M154">
        <f t="shared" si="23"/>
        <v>87.769251393426202</v>
      </c>
    </row>
    <row r="155" spans="4:13" x14ac:dyDescent="0.2">
      <c r="D155">
        <f t="shared" si="17"/>
        <v>111.11323951841975</v>
      </c>
      <c r="E155">
        <f t="shared" si="17"/>
        <v>96.250865233890295</v>
      </c>
      <c r="F155">
        <f t="shared" si="17"/>
        <v>113.61231368781692</v>
      </c>
      <c r="G155">
        <f t="shared" si="16"/>
        <v>102.20455031622662</v>
      </c>
      <c r="H155">
        <f t="shared" si="18"/>
        <v>78.402302330358324</v>
      </c>
      <c r="I155">
        <f t="shared" si="19"/>
        <v>111.13157890814409</v>
      </c>
      <c r="J155">
        <f t="shared" si="20"/>
        <v>93.961357005485993</v>
      </c>
      <c r="K155">
        <f t="shared" si="21"/>
        <v>99.038783332489629</v>
      </c>
      <c r="L155">
        <f t="shared" si="22"/>
        <v>102.09546718575575</v>
      </c>
      <c r="M155">
        <f t="shared" si="23"/>
        <v>86.12599473044213</v>
      </c>
    </row>
    <row r="156" spans="4:13" x14ac:dyDescent="0.2">
      <c r="D156">
        <f t="shared" si="17"/>
        <v>111.48963481593717</v>
      </c>
      <c r="E156">
        <f t="shared" si="17"/>
        <v>97.665662940378212</v>
      </c>
      <c r="F156">
        <f t="shared" si="17"/>
        <v>111.87943938732104</v>
      </c>
      <c r="G156">
        <f t="shared" si="16"/>
        <v>102.48158512571887</v>
      </c>
      <c r="H156">
        <f t="shared" si="18"/>
        <v>76.229373853353522</v>
      </c>
      <c r="I156">
        <f t="shared" si="19"/>
        <v>111.11841646914381</v>
      </c>
      <c r="J156">
        <f t="shared" si="20"/>
        <v>95.455517829823037</v>
      </c>
      <c r="K156">
        <f t="shared" si="21"/>
        <v>97.29641027244368</v>
      </c>
      <c r="L156">
        <f t="shared" si="22"/>
        <v>102.69895417488105</v>
      </c>
      <c r="M156">
        <f t="shared" si="23"/>
        <v>84.914433043244316</v>
      </c>
    </row>
    <row r="157" spans="4:13" x14ac:dyDescent="0.2">
      <c r="D157">
        <f t="shared" si="17"/>
        <v>113.29402096123485</v>
      </c>
      <c r="E157">
        <f t="shared" si="17"/>
        <v>97.145820334789576</v>
      </c>
      <c r="F157">
        <f t="shared" si="17"/>
        <v>111.76124329164506</v>
      </c>
      <c r="G157">
        <f t="shared" si="16"/>
        <v>103.28636779674554</v>
      </c>
      <c r="H157">
        <f t="shared" si="18"/>
        <v>76.592883122311108</v>
      </c>
      <c r="I157">
        <f t="shared" si="19"/>
        <v>111.97234271244781</v>
      </c>
      <c r="J157">
        <f t="shared" si="20"/>
        <v>95.613137305094241</v>
      </c>
      <c r="K157">
        <f t="shared" si="21"/>
        <v>97.390917336298529</v>
      </c>
      <c r="L157">
        <f t="shared" si="22"/>
        <v>101.62297523686216</v>
      </c>
      <c r="M157">
        <f t="shared" si="23"/>
        <v>84.442985498487346</v>
      </c>
    </row>
    <row r="158" spans="4:13" x14ac:dyDescent="0.2">
      <c r="D158">
        <f t="shared" si="17"/>
        <v>116.03048003080058</v>
      </c>
      <c r="E158">
        <f t="shared" si="17"/>
        <v>99.688106590189406</v>
      </c>
      <c r="F158">
        <f t="shared" si="17"/>
        <v>113.60468551879868</v>
      </c>
      <c r="G158">
        <f t="shared" si="16"/>
        <v>102.80126962234147</v>
      </c>
      <c r="H158">
        <f t="shared" si="18"/>
        <v>74.825548245965138</v>
      </c>
      <c r="I158">
        <f t="shared" si="19"/>
        <v>112.44437983039232</v>
      </c>
      <c r="J158">
        <f t="shared" si="20"/>
        <v>95.554759852412715</v>
      </c>
      <c r="K158">
        <f t="shared" si="21"/>
        <v>98.252351394562083</v>
      </c>
      <c r="L158">
        <f t="shared" si="22"/>
        <v>100.83084601386832</v>
      </c>
      <c r="M158">
        <f t="shared" si="23"/>
        <v>85.219407135537793</v>
      </c>
    </row>
    <row r="159" spans="4:13" x14ac:dyDescent="0.2">
      <c r="D159">
        <f t="shared" si="17"/>
        <v>113.55653429462149</v>
      </c>
      <c r="E159">
        <f t="shared" si="17"/>
        <v>99.686408402481092</v>
      </c>
      <c r="F159">
        <f t="shared" si="17"/>
        <v>113.31405080266313</v>
      </c>
      <c r="G159">
        <f t="shared" si="16"/>
        <v>102.9364697551898</v>
      </c>
      <c r="H159">
        <f t="shared" si="18"/>
        <v>75.69502977960822</v>
      </c>
      <c r="I159">
        <f t="shared" si="19"/>
        <v>110.91204997330401</v>
      </c>
      <c r="J159">
        <f t="shared" si="20"/>
        <v>97.520133936947914</v>
      </c>
      <c r="K159">
        <f t="shared" si="21"/>
        <v>97.639239037928618</v>
      </c>
      <c r="L159">
        <f t="shared" si="22"/>
        <v>101.15833362648078</v>
      </c>
      <c r="M159">
        <f t="shared" si="23"/>
        <v>84.10068859067546</v>
      </c>
    </row>
    <row r="160" spans="4:13" x14ac:dyDescent="0.2">
      <c r="D160">
        <f t="shared" si="17"/>
        <v>112.4694025626507</v>
      </c>
      <c r="E160">
        <f t="shared" si="17"/>
        <v>98.660168197219136</v>
      </c>
      <c r="F160">
        <f t="shared" si="17"/>
        <v>112.4880543857914</v>
      </c>
      <c r="G160">
        <f t="shared" si="16"/>
        <v>102.32152598897619</v>
      </c>
      <c r="H160">
        <f t="shared" si="18"/>
        <v>75.574038787366192</v>
      </c>
      <c r="I160">
        <f t="shared" si="19"/>
        <v>110.12667509865391</v>
      </c>
      <c r="J160">
        <f t="shared" si="20"/>
        <v>96.49043051390899</v>
      </c>
      <c r="K160">
        <f t="shared" si="21"/>
        <v>96.377009493698765</v>
      </c>
      <c r="L160">
        <f t="shared" si="22"/>
        <v>103.21181519166504</v>
      </c>
      <c r="M160">
        <f t="shared" si="23"/>
        <v>83.001141046062429</v>
      </c>
    </row>
    <row r="161" spans="4:13" x14ac:dyDescent="0.2">
      <c r="D161">
        <f t="shared" si="17"/>
        <v>110.15647923984235</v>
      </c>
      <c r="E161">
        <f t="shared" si="17"/>
        <v>97.56864681617013</v>
      </c>
      <c r="F161">
        <f t="shared" si="17"/>
        <v>112.3663995068388</v>
      </c>
      <c r="G161">
        <f t="shared" si="16"/>
        <v>99.943809873217475</v>
      </c>
      <c r="H161">
        <f t="shared" si="18"/>
        <v>74.665162592020067</v>
      </c>
      <c r="I161">
        <f t="shared" si="19"/>
        <v>107.87799413892857</v>
      </c>
      <c r="J161">
        <f t="shared" si="20"/>
        <v>97.079889276359879</v>
      </c>
      <c r="K161">
        <f t="shared" si="21"/>
        <v>95.757140715117629</v>
      </c>
      <c r="L161">
        <f t="shared" si="22"/>
        <v>101.06696393486672</v>
      </c>
      <c r="M161">
        <f t="shared" si="23"/>
        <v>82.581865779671972</v>
      </c>
    </row>
    <row r="162" spans="4:13" x14ac:dyDescent="0.2">
      <c r="D162">
        <f t="shared" si="17"/>
        <v>111.30856195975809</v>
      </c>
      <c r="E162">
        <f t="shared" si="17"/>
        <v>99.414009816110934</v>
      </c>
      <c r="F162">
        <f t="shared" si="17"/>
        <v>110.62874598293998</v>
      </c>
      <c r="G162">
        <f t="shared" si="16"/>
        <v>101.2455031291105</v>
      </c>
      <c r="H162">
        <f t="shared" si="18"/>
        <v>74.226122001924637</v>
      </c>
      <c r="I162">
        <f t="shared" si="19"/>
        <v>106.63637089514617</v>
      </c>
      <c r="J162">
        <f t="shared" si="20"/>
        <v>98.425992361093122</v>
      </c>
      <c r="K162">
        <f t="shared" si="21"/>
        <v>95.719513852235323</v>
      </c>
      <c r="L162">
        <f t="shared" si="22"/>
        <v>99.633355684735875</v>
      </c>
      <c r="M162">
        <f t="shared" si="23"/>
        <v>83.313607488484664</v>
      </c>
    </row>
    <row r="163" spans="4:13" x14ac:dyDescent="0.2">
      <c r="D163">
        <f t="shared" si="17"/>
        <v>110.17757301919237</v>
      </c>
      <c r="E163">
        <f t="shared" si="17"/>
        <v>100.79586135369067</v>
      </c>
      <c r="F163">
        <f t="shared" si="17"/>
        <v>110.89886191121802</v>
      </c>
      <c r="G163">
        <f t="shared" si="16"/>
        <v>102.20704718388485</v>
      </c>
      <c r="H163">
        <f t="shared" si="18"/>
        <v>75.976947686640486</v>
      </c>
      <c r="I163">
        <f t="shared" si="19"/>
        <v>104.15197650581528</v>
      </c>
      <c r="J163">
        <f t="shared" si="20"/>
        <v>97.737689859514063</v>
      </c>
      <c r="K163">
        <f t="shared" si="21"/>
        <v>95.366369062172623</v>
      </c>
      <c r="L163">
        <f t="shared" si="22"/>
        <v>98.906534925851858</v>
      </c>
      <c r="M163">
        <f t="shared" si="23"/>
        <v>83.550895557056734</v>
      </c>
    </row>
    <row r="164" spans="4:13" x14ac:dyDescent="0.2">
      <c r="D164">
        <f t="shared" si="17"/>
        <v>108.7812937400154</v>
      </c>
      <c r="E164">
        <f t="shared" si="17"/>
        <v>99.655135199022425</v>
      </c>
      <c r="F164">
        <f t="shared" si="17"/>
        <v>109.5190637809534</v>
      </c>
      <c r="G164">
        <f t="shared" si="16"/>
        <v>103.16893770793639</v>
      </c>
      <c r="H164">
        <f t="shared" si="18"/>
        <v>75.751224433747197</v>
      </c>
      <c r="I164">
        <f t="shared" si="19"/>
        <v>104.54670132201636</v>
      </c>
      <c r="J164">
        <f t="shared" si="20"/>
        <v>95.385329581319155</v>
      </c>
      <c r="K164">
        <f t="shared" si="21"/>
        <v>97.121645526406468</v>
      </c>
      <c r="L164">
        <f t="shared" si="22"/>
        <v>97.094165452020633</v>
      </c>
      <c r="M164">
        <f t="shared" si="23"/>
        <v>83.884168440978868</v>
      </c>
    </row>
    <row r="165" spans="4:13" x14ac:dyDescent="0.2">
      <c r="D165">
        <f t="shared" si="17"/>
        <v>108.58307080512466</v>
      </c>
      <c r="E165">
        <f t="shared" si="17"/>
        <v>101.50359678435088</v>
      </c>
      <c r="F165">
        <f t="shared" si="17"/>
        <v>106.05166693165638</v>
      </c>
      <c r="G165">
        <f t="shared" si="16"/>
        <v>104.94057410524643</v>
      </c>
      <c r="H165">
        <f t="shared" si="18"/>
        <v>76.327218644348363</v>
      </c>
      <c r="I165">
        <f t="shared" si="19"/>
        <v>104.46763889971378</v>
      </c>
      <c r="J165">
        <f t="shared" si="20"/>
        <v>95.335993792754252</v>
      </c>
      <c r="K165">
        <f t="shared" si="21"/>
        <v>97.627909495558939</v>
      </c>
      <c r="L165">
        <f t="shared" si="22"/>
        <v>97.496187834466753</v>
      </c>
      <c r="M165">
        <f t="shared" si="23"/>
        <v>83.311577606982851</v>
      </c>
    </row>
    <row r="166" spans="4:13" x14ac:dyDescent="0.2">
      <c r="D166">
        <f t="shared" si="17"/>
        <v>108.42401845665266</v>
      </c>
      <c r="E166">
        <f t="shared" si="17"/>
        <v>101.37144653842957</v>
      </c>
      <c r="F166">
        <f t="shared" si="17"/>
        <v>107.10945507790304</v>
      </c>
      <c r="G166">
        <f t="shared" si="16"/>
        <v>106.61146779479974</v>
      </c>
      <c r="H166">
        <f t="shared" si="18"/>
        <v>75.242024952959511</v>
      </c>
      <c r="I166">
        <f t="shared" si="19"/>
        <v>102.91502448446396</v>
      </c>
      <c r="J166">
        <f t="shared" si="20"/>
        <v>95.766764505607284</v>
      </c>
      <c r="K166">
        <f t="shared" si="21"/>
        <v>97.893225855358537</v>
      </c>
      <c r="L166">
        <f t="shared" si="22"/>
        <v>100.83995252053033</v>
      </c>
      <c r="M166">
        <f t="shared" si="23"/>
        <v>81.683008844824968</v>
      </c>
    </row>
    <row r="167" spans="4:13" x14ac:dyDescent="0.2">
      <c r="D167">
        <f t="shared" si="17"/>
        <v>108.53595557947331</v>
      </c>
      <c r="E167">
        <f t="shared" si="17"/>
        <v>102.10717115860895</v>
      </c>
      <c r="F167">
        <f t="shared" si="17"/>
        <v>107.59851801590742</v>
      </c>
      <c r="G167">
        <f t="shared" si="16"/>
        <v>106.83645258570046</v>
      </c>
      <c r="H167">
        <f t="shared" si="18"/>
        <v>74.591858826966003</v>
      </c>
      <c r="I167">
        <f t="shared" si="19"/>
        <v>105.34304973007616</v>
      </c>
      <c r="J167">
        <f t="shared" si="20"/>
        <v>94.518422814359724</v>
      </c>
      <c r="K167">
        <f t="shared" si="21"/>
        <v>95.780274871070432</v>
      </c>
      <c r="L167">
        <f t="shared" si="22"/>
        <v>99.287438513363171</v>
      </c>
      <c r="M167">
        <f t="shared" si="23"/>
        <v>81.849388395823965</v>
      </c>
    </row>
    <row r="168" spans="4:13" x14ac:dyDescent="0.2">
      <c r="D168">
        <f t="shared" si="17"/>
        <v>108.46059009043718</v>
      </c>
      <c r="E168">
        <f t="shared" si="17"/>
        <v>100.23905563438394</v>
      </c>
      <c r="F168">
        <f t="shared" si="17"/>
        <v>108.94385741984766</v>
      </c>
      <c r="G168">
        <f t="shared" si="16"/>
        <v>108.83389455488079</v>
      </c>
      <c r="H168">
        <f t="shared" si="18"/>
        <v>75.403869923417602</v>
      </c>
      <c r="I168">
        <f t="shared" si="19"/>
        <v>105.44922878449317</v>
      </c>
      <c r="J168">
        <f t="shared" si="20"/>
        <v>95.6485352036308</v>
      </c>
      <c r="K168">
        <f t="shared" si="21"/>
        <v>98.442158874928964</v>
      </c>
      <c r="L168">
        <f t="shared" si="22"/>
        <v>100.69061169602527</v>
      </c>
      <c r="M168">
        <f t="shared" si="23"/>
        <v>81.049029086288144</v>
      </c>
    </row>
    <row r="169" spans="4:13" x14ac:dyDescent="0.2">
      <c r="D169">
        <f t="shared" si="17"/>
        <v>110.29468363758842</v>
      </c>
      <c r="E169">
        <f t="shared" si="17"/>
        <v>101.55100851617021</v>
      </c>
      <c r="F169">
        <f t="shared" si="17"/>
        <v>109.91288963269737</v>
      </c>
      <c r="G169">
        <f t="shared" si="16"/>
        <v>110.46815695478379</v>
      </c>
      <c r="H169">
        <f t="shared" si="18"/>
        <v>75.682251140620409</v>
      </c>
      <c r="I169">
        <f t="shared" si="19"/>
        <v>104.0881437839361</v>
      </c>
      <c r="J169">
        <f t="shared" si="20"/>
        <v>94.525662665356521</v>
      </c>
      <c r="K169">
        <f t="shared" si="21"/>
        <v>99.387218475986032</v>
      </c>
      <c r="L169">
        <f t="shared" si="22"/>
        <v>99.458004013075865</v>
      </c>
      <c r="M169">
        <f t="shared" si="23"/>
        <v>80.744527791841151</v>
      </c>
    </row>
    <row r="170" spans="4:13" x14ac:dyDescent="0.2">
      <c r="D170">
        <f t="shared" si="17"/>
        <v>107.97083431726294</v>
      </c>
      <c r="E170">
        <f t="shared" si="17"/>
        <v>103.58342610515635</v>
      </c>
      <c r="F170">
        <f t="shared" si="17"/>
        <v>108.89058082670775</v>
      </c>
      <c r="G170">
        <f t="shared" si="16"/>
        <v>110.64869937175639</v>
      </c>
      <c r="H170">
        <f t="shared" si="18"/>
        <v>74.47082907587918</v>
      </c>
      <c r="I170">
        <f t="shared" si="19"/>
        <v>104.72567699458527</v>
      </c>
      <c r="J170">
        <f t="shared" si="20"/>
        <v>94.701342280564489</v>
      </c>
      <c r="K170">
        <f t="shared" si="21"/>
        <v>97.200710472124499</v>
      </c>
      <c r="L170">
        <f t="shared" si="22"/>
        <v>98.666658841720647</v>
      </c>
      <c r="M170">
        <f t="shared" si="23"/>
        <v>79.725396962713177</v>
      </c>
    </row>
    <row r="171" spans="4:13" x14ac:dyDescent="0.2">
      <c r="D171">
        <f t="shared" si="17"/>
        <v>109.31770221059288</v>
      </c>
      <c r="E171">
        <f t="shared" si="17"/>
        <v>105.34734354249632</v>
      </c>
      <c r="F171">
        <f t="shared" si="17"/>
        <v>109.23496623067436</v>
      </c>
      <c r="G171">
        <f t="shared" si="16"/>
        <v>110.01755391510602</v>
      </c>
      <c r="H171">
        <f t="shared" si="18"/>
        <v>74.472896117798484</v>
      </c>
      <c r="I171">
        <f t="shared" si="19"/>
        <v>106.96444657325726</v>
      </c>
      <c r="J171">
        <f t="shared" si="20"/>
        <v>96.535265584701577</v>
      </c>
      <c r="K171">
        <f t="shared" si="21"/>
        <v>96.774422198111637</v>
      </c>
      <c r="L171">
        <f t="shared" si="22"/>
        <v>95.894856877479668</v>
      </c>
      <c r="M171">
        <f t="shared" si="23"/>
        <v>81.77019065912296</v>
      </c>
    </row>
    <row r="172" spans="4:13" x14ac:dyDescent="0.2">
      <c r="D172">
        <f t="shared" si="17"/>
        <v>109.53890599574881</v>
      </c>
      <c r="E172">
        <f t="shared" si="17"/>
        <v>104.75294376257143</v>
      </c>
      <c r="F172">
        <f t="shared" si="17"/>
        <v>107.8310961019986</v>
      </c>
      <c r="G172">
        <f t="shared" si="16"/>
        <v>108.51599252879809</v>
      </c>
      <c r="H172">
        <f t="shared" si="18"/>
        <v>74.630285614561799</v>
      </c>
      <c r="I172">
        <f t="shared" si="19"/>
        <v>107.31756579383413</v>
      </c>
      <c r="J172">
        <f t="shared" si="20"/>
        <v>97.764106094121246</v>
      </c>
      <c r="K172">
        <f t="shared" si="21"/>
        <v>96.167586103555493</v>
      </c>
      <c r="L172">
        <f t="shared" si="22"/>
        <v>95.334314174473064</v>
      </c>
      <c r="M172">
        <f t="shared" si="23"/>
        <v>81.812142210887075</v>
      </c>
    </row>
    <row r="173" spans="4:13" x14ac:dyDescent="0.2">
      <c r="D173">
        <f t="shared" si="17"/>
        <v>109.71793467575687</v>
      </c>
      <c r="E173">
        <f t="shared" si="17"/>
        <v>104.3133185335257</v>
      </c>
      <c r="F173">
        <f t="shared" si="17"/>
        <v>108.02739224144193</v>
      </c>
      <c r="G173">
        <f t="shared" si="16"/>
        <v>110.28281663636814</v>
      </c>
      <c r="H173">
        <f t="shared" si="18"/>
        <v>75.096678578815315</v>
      </c>
      <c r="I173">
        <f t="shared" si="19"/>
        <v>106.39371407431301</v>
      </c>
      <c r="J173">
        <f t="shared" si="20"/>
        <v>98.540244810477219</v>
      </c>
      <c r="K173">
        <f t="shared" si="21"/>
        <v>96.223753917307022</v>
      </c>
      <c r="L173">
        <f t="shared" si="22"/>
        <v>95.816006646110054</v>
      </c>
      <c r="M173">
        <f t="shared" si="23"/>
        <v>82.096287840080223</v>
      </c>
    </row>
    <row r="174" spans="4:13" x14ac:dyDescent="0.2">
      <c r="D174">
        <f t="shared" si="17"/>
        <v>111.1031105988373</v>
      </c>
      <c r="E174">
        <f t="shared" si="17"/>
        <v>104.57765141772498</v>
      </c>
      <c r="F174">
        <f t="shared" si="17"/>
        <v>109.68633490258615</v>
      </c>
      <c r="G174">
        <f t="shared" si="16"/>
        <v>107.885436827617</v>
      </c>
      <c r="H174">
        <f t="shared" si="18"/>
        <v>76.778008260490239</v>
      </c>
      <c r="I174">
        <f t="shared" si="19"/>
        <v>106.93644517521601</v>
      </c>
      <c r="J174">
        <f t="shared" si="20"/>
        <v>98.299023624440252</v>
      </c>
      <c r="K174">
        <f t="shared" si="21"/>
        <v>94.711027203566928</v>
      </c>
      <c r="L174">
        <f t="shared" si="22"/>
        <v>97.373287950529814</v>
      </c>
      <c r="M174">
        <f t="shared" si="23"/>
        <v>81.278216125763478</v>
      </c>
    </row>
    <row r="175" spans="4:13" x14ac:dyDescent="0.2">
      <c r="D175">
        <f t="shared" si="17"/>
        <v>112.2884741336178</v>
      </c>
      <c r="E175">
        <f t="shared" si="17"/>
        <v>106.39473771864492</v>
      </c>
      <c r="F175">
        <f t="shared" si="17"/>
        <v>110.80087273783656</v>
      </c>
      <c r="G175">
        <f t="shared" si="16"/>
        <v>106.85903318988659</v>
      </c>
      <c r="H175">
        <f t="shared" si="18"/>
        <v>76.506608003716977</v>
      </c>
      <c r="I175">
        <f t="shared" si="19"/>
        <v>107.83202842444716</v>
      </c>
      <c r="J175">
        <f t="shared" si="20"/>
        <v>95.74251403547909</v>
      </c>
      <c r="K175">
        <f t="shared" si="21"/>
        <v>94.881173791465528</v>
      </c>
      <c r="L175">
        <f t="shared" si="22"/>
        <v>97.13894608152043</v>
      </c>
      <c r="M175">
        <f t="shared" si="23"/>
        <v>82.285522105248347</v>
      </c>
    </row>
    <row r="176" spans="4:13" x14ac:dyDescent="0.2">
      <c r="D176">
        <f t="shared" si="17"/>
        <v>114.27840003540521</v>
      </c>
      <c r="E176">
        <f t="shared" si="17"/>
        <v>106.92958968719114</v>
      </c>
      <c r="F176">
        <f t="shared" si="17"/>
        <v>112.04243817975278</v>
      </c>
      <c r="G176">
        <f t="shared" si="16"/>
        <v>105.76242457101945</v>
      </c>
      <c r="H176">
        <f t="shared" si="18"/>
        <v>75.669856082783113</v>
      </c>
      <c r="I176">
        <f t="shared" si="19"/>
        <v>107.7240802857592</v>
      </c>
      <c r="J176">
        <f t="shared" si="20"/>
        <v>97.211360836143641</v>
      </c>
      <c r="K176">
        <f t="shared" si="21"/>
        <v>94.235037488833115</v>
      </c>
      <c r="L176">
        <f t="shared" si="22"/>
        <v>97.776027181822514</v>
      </c>
      <c r="M176">
        <f t="shared" si="23"/>
        <v>81.620784592001598</v>
      </c>
    </row>
    <row r="177" spans="4:13" x14ac:dyDescent="0.2">
      <c r="D177">
        <f t="shared" si="17"/>
        <v>111.10657711834347</v>
      </c>
      <c r="E177">
        <f t="shared" si="17"/>
        <v>106.0886241949546</v>
      </c>
      <c r="F177">
        <f t="shared" si="17"/>
        <v>112.1855894023644</v>
      </c>
      <c r="G177">
        <f t="shared" si="16"/>
        <v>104.74703229340379</v>
      </c>
      <c r="H177">
        <f t="shared" si="18"/>
        <v>75.468085359781725</v>
      </c>
      <c r="I177">
        <f t="shared" si="19"/>
        <v>108.08969836317485</v>
      </c>
      <c r="J177">
        <f t="shared" si="20"/>
        <v>97.401785739495224</v>
      </c>
      <c r="K177">
        <f t="shared" si="21"/>
        <v>94.052305542451364</v>
      </c>
      <c r="L177">
        <f t="shared" si="22"/>
        <v>97.047578712601066</v>
      </c>
      <c r="M177">
        <f t="shared" si="23"/>
        <v>81.095323538385159</v>
      </c>
    </row>
    <row r="178" spans="4:13" x14ac:dyDescent="0.2">
      <c r="D178">
        <f t="shared" si="17"/>
        <v>110.01938283604761</v>
      </c>
      <c r="E178">
        <f t="shared" si="17"/>
        <v>103.73842477368872</v>
      </c>
      <c r="F178">
        <f t="shared" si="17"/>
        <v>111.30636695980849</v>
      </c>
      <c r="G178">
        <f t="shared" si="16"/>
        <v>103.490629115422</v>
      </c>
      <c r="H178">
        <f t="shared" si="18"/>
        <v>75.452842228052361</v>
      </c>
      <c r="I178">
        <f t="shared" si="19"/>
        <v>108.20942467986347</v>
      </c>
      <c r="J178">
        <f t="shared" si="20"/>
        <v>96.019610909756125</v>
      </c>
      <c r="K178">
        <f t="shared" si="21"/>
        <v>96.013365640795314</v>
      </c>
      <c r="L178">
        <f t="shared" si="22"/>
        <v>99.085332071417142</v>
      </c>
      <c r="M178">
        <f t="shared" si="23"/>
        <v>80.432560805929512</v>
      </c>
    </row>
    <row r="179" spans="4:13" x14ac:dyDescent="0.2">
      <c r="D179">
        <f t="shared" si="17"/>
        <v>111.06371962346677</v>
      </c>
      <c r="E179">
        <f t="shared" si="17"/>
        <v>104.17375598332677</v>
      </c>
      <c r="F179">
        <f t="shared" si="17"/>
        <v>110.86011658652744</v>
      </c>
      <c r="G179">
        <f t="shared" si="16"/>
        <v>103.4158303484722</v>
      </c>
      <c r="H179">
        <f t="shared" si="18"/>
        <v>76.698904291826096</v>
      </c>
      <c r="I179">
        <f t="shared" si="19"/>
        <v>109.60524703994973</v>
      </c>
      <c r="J179">
        <f t="shared" si="20"/>
        <v>95.610167732643532</v>
      </c>
      <c r="K179">
        <f t="shared" si="21"/>
        <v>98.327672451931903</v>
      </c>
      <c r="L179">
        <f t="shared" si="22"/>
        <v>98.335032851945002</v>
      </c>
      <c r="M179">
        <f t="shared" si="23"/>
        <v>79.897602323659839</v>
      </c>
    </row>
    <row r="180" spans="4:13" x14ac:dyDescent="0.2">
      <c r="D180">
        <f t="shared" si="17"/>
        <v>112.2531213461619</v>
      </c>
      <c r="E180">
        <f t="shared" si="17"/>
        <v>103.31135310840212</v>
      </c>
      <c r="F180">
        <f t="shared" si="17"/>
        <v>111.77384113097639</v>
      </c>
      <c r="G180">
        <f t="shared" si="16"/>
        <v>103.51943094188381</v>
      </c>
      <c r="H180">
        <f t="shared" si="18"/>
        <v>75.968748930176545</v>
      </c>
      <c r="I180">
        <f t="shared" si="19"/>
        <v>109.241705865852</v>
      </c>
      <c r="J180">
        <f t="shared" si="20"/>
        <v>96.396967308979981</v>
      </c>
      <c r="K180">
        <f t="shared" si="21"/>
        <v>98.603575423937983</v>
      </c>
      <c r="L180">
        <f t="shared" si="22"/>
        <v>99.478516312421561</v>
      </c>
      <c r="M180">
        <f t="shared" si="23"/>
        <v>81.415134527439761</v>
      </c>
    </row>
    <row r="181" spans="4:13" x14ac:dyDescent="0.2">
      <c r="D181">
        <f t="shared" si="17"/>
        <v>112.64324342190058</v>
      </c>
      <c r="E181">
        <f t="shared" si="17"/>
        <v>103.82853845300109</v>
      </c>
      <c r="F181">
        <f t="shared" si="17"/>
        <v>113.17694652915692</v>
      </c>
      <c r="G181">
        <f t="shared" si="16"/>
        <v>103.0563520041555</v>
      </c>
      <c r="H181">
        <f t="shared" si="18"/>
        <v>76.360109032305417</v>
      </c>
      <c r="I181">
        <f t="shared" si="19"/>
        <v>109.08611575060561</v>
      </c>
      <c r="J181">
        <f t="shared" si="20"/>
        <v>96.841201334340795</v>
      </c>
      <c r="K181">
        <f t="shared" si="21"/>
        <v>99.492722087786021</v>
      </c>
      <c r="L181">
        <f t="shared" si="22"/>
        <v>99.523336040554653</v>
      </c>
      <c r="M181">
        <f t="shared" si="23"/>
        <v>83.964695648438564</v>
      </c>
    </row>
    <row r="182" spans="4:13" x14ac:dyDescent="0.2">
      <c r="D182">
        <f t="shared" si="17"/>
        <v>111.60071427349919</v>
      </c>
      <c r="E182">
        <f t="shared" si="17"/>
        <v>101.23968995041766</v>
      </c>
      <c r="F182">
        <f t="shared" si="17"/>
        <v>112.09327806661813</v>
      </c>
      <c r="G182">
        <f t="shared" si="16"/>
        <v>102.93811090443008</v>
      </c>
      <c r="H182">
        <f t="shared" si="18"/>
        <v>75.844116062480424</v>
      </c>
      <c r="I182">
        <f t="shared" si="19"/>
        <v>108.30935652894331</v>
      </c>
      <c r="J182">
        <f t="shared" si="20"/>
        <v>96.858027215294442</v>
      </c>
      <c r="K182">
        <f t="shared" si="21"/>
        <v>101.28478810876149</v>
      </c>
      <c r="L182">
        <f t="shared" si="22"/>
        <v>98.954201450929304</v>
      </c>
      <c r="M182">
        <f t="shared" si="23"/>
        <v>83.621060949713964</v>
      </c>
    </row>
    <row r="183" spans="4:13" x14ac:dyDescent="0.2">
      <c r="D183">
        <f t="shared" si="17"/>
        <v>111.8632530352675</v>
      </c>
      <c r="E183">
        <f t="shared" si="17"/>
        <v>99.385894757646312</v>
      </c>
      <c r="F183">
        <f t="shared" si="17"/>
        <v>112.03616674356871</v>
      </c>
      <c r="G183">
        <f t="shared" si="16"/>
        <v>104.77303281525712</v>
      </c>
      <c r="H183">
        <f t="shared" si="18"/>
        <v>74.852275742642888</v>
      </c>
      <c r="I183">
        <f t="shared" si="19"/>
        <v>108.23050560287932</v>
      </c>
      <c r="J183">
        <f t="shared" si="20"/>
        <v>96.321100706716578</v>
      </c>
      <c r="K183">
        <f t="shared" si="21"/>
        <v>101.40698220908786</v>
      </c>
      <c r="L183">
        <f t="shared" si="22"/>
        <v>98.081768261839727</v>
      </c>
      <c r="M183">
        <f t="shared" si="23"/>
        <v>83.348003493353175</v>
      </c>
    </row>
    <row r="184" spans="4:13" x14ac:dyDescent="0.2">
      <c r="D184">
        <f t="shared" si="17"/>
        <v>110.40137309491602</v>
      </c>
      <c r="E184">
        <f t="shared" si="17"/>
        <v>100.6935371633212</v>
      </c>
      <c r="F184">
        <f t="shared" si="17"/>
        <v>111.12406624078974</v>
      </c>
      <c r="G184">
        <f t="shared" si="16"/>
        <v>106.70879362408827</v>
      </c>
      <c r="H184">
        <f t="shared" si="18"/>
        <v>74.820266170393296</v>
      </c>
      <c r="I184">
        <f t="shared" si="19"/>
        <v>108.91494986501912</v>
      </c>
      <c r="J184">
        <f t="shared" si="20"/>
        <v>95.377604512672903</v>
      </c>
      <c r="K184">
        <f t="shared" si="21"/>
        <v>102.11458404633281</v>
      </c>
      <c r="L184">
        <f t="shared" si="22"/>
        <v>100.49649636405802</v>
      </c>
      <c r="M184">
        <f t="shared" si="23"/>
        <v>83.226403722195883</v>
      </c>
    </row>
    <row r="185" spans="4:13" x14ac:dyDescent="0.2">
      <c r="D185">
        <f t="shared" si="17"/>
        <v>109.92603792856316</v>
      </c>
      <c r="E185">
        <f t="shared" si="17"/>
        <v>100.79204999441917</v>
      </c>
      <c r="F185">
        <f t="shared" si="17"/>
        <v>109.53897852077708</v>
      </c>
      <c r="G185">
        <f t="shared" si="16"/>
        <v>105.55055533718914</v>
      </c>
      <c r="H185">
        <f t="shared" si="18"/>
        <v>75.846617882806981</v>
      </c>
      <c r="I185">
        <f t="shared" si="19"/>
        <v>106.03272121201339</v>
      </c>
      <c r="J185">
        <f t="shared" si="20"/>
        <v>93.7504099752841</v>
      </c>
      <c r="K185">
        <f t="shared" si="21"/>
        <v>103.32079169156182</v>
      </c>
      <c r="L185">
        <f t="shared" si="22"/>
        <v>99.86423358134158</v>
      </c>
      <c r="M185">
        <f t="shared" si="23"/>
        <v>81.515665292119394</v>
      </c>
    </row>
    <row r="186" spans="4:13" x14ac:dyDescent="0.2">
      <c r="D186">
        <f t="shared" si="17"/>
        <v>107.94955052697519</v>
      </c>
      <c r="E186">
        <f t="shared" si="17"/>
        <v>99.619391859846587</v>
      </c>
      <c r="F186">
        <f t="shared" si="17"/>
        <v>109.11135907375215</v>
      </c>
      <c r="G186">
        <f t="shared" si="16"/>
        <v>105.1943069250552</v>
      </c>
      <c r="H186">
        <f t="shared" si="18"/>
        <v>75.110089932657544</v>
      </c>
      <c r="I186">
        <f t="shared" si="19"/>
        <v>107.49879501353529</v>
      </c>
      <c r="J186">
        <f t="shared" si="20"/>
        <v>95.189372525384059</v>
      </c>
      <c r="K186">
        <f t="shared" si="21"/>
        <v>104.09198749043094</v>
      </c>
      <c r="L186">
        <f t="shared" si="22"/>
        <v>100.22312211361798</v>
      </c>
      <c r="M186">
        <f t="shared" si="23"/>
        <v>82.088195592621986</v>
      </c>
    </row>
    <row r="187" spans="4:13" x14ac:dyDescent="0.2">
      <c r="D187">
        <f t="shared" si="17"/>
        <v>108.67329148653063</v>
      </c>
      <c r="E187">
        <f t="shared" si="17"/>
        <v>98.799924805295007</v>
      </c>
      <c r="F187">
        <f t="shared" si="17"/>
        <v>107.20260639791884</v>
      </c>
      <c r="G187">
        <f t="shared" si="16"/>
        <v>102.92605848821491</v>
      </c>
      <c r="H187">
        <f t="shared" si="18"/>
        <v>76.104102223258565</v>
      </c>
      <c r="I187">
        <f t="shared" si="19"/>
        <v>107.05637567626398</v>
      </c>
      <c r="J187">
        <f t="shared" si="20"/>
        <v>95.558242472855881</v>
      </c>
      <c r="K187">
        <f t="shared" si="21"/>
        <v>103.52535070941795</v>
      </c>
      <c r="L187">
        <f t="shared" si="22"/>
        <v>100.40967828616114</v>
      </c>
      <c r="M187">
        <f t="shared" si="23"/>
        <v>82.692197970722546</v>
      </c>
    </row>
    <row r="188" spans="4:13" x14ac:dyDescent="0.2">
      <c r="D188">
        <f t="shared" si="17"/>
        <v>111.81828191551602</v>
      </c>
      <c r="E188">
        <f t="shared" si="17"/>
        <v>98.503072756708605</v>
      </c>
      <c r="F188">
        <f t="shared" si="17"/>
        <v>107.54822429044951</v>
      </c>
      <c r="G188">
        <f t="shared" si="16"/>
        <v>101.22046613222811</v>
      </c>
      <c r="H188">
        <f t="shared" si="18"/>
        <v>76.13587276008171</v>
      </c>
      <c r="I188">
        <f t="shared" si="19"/>
        <v>106.9084060326748</v>
      </c>
      <c r="J188">
        <f t="shared" si="20"/>
        <v>97.198147368787431</v>
      </c>
      <c r="K188">
        <f t="shared" si="21"/>
        <v>103.64898994712532</v>
      </c>
      <c r="L188">
        <f t="shared" si="22"/>
        <v>102.5977759530697</v>
      </c>
      <c r="M188">
        <f t="shared" si="23"/>
        <v>81.770735262064434</v>
      </c>
    </row>
    <row r="189" spans="4:13" x14ac:dyDescent="0.2">
      <c r="D189">
        <f t="shared" si="17"/>
        <v>110.24087482544203</v>
      </c>
      <c r="E189">
        <f t="shared" si="17"/>
        <v>99.623698706056231</v>
      </c>
      <c r="F189">
        <f t="shared" si="17"/>
        <v>105.57450777729363</v>
      </c>
      <c r="G189">
        <f t="shared" si="16"/>
        <v>100.85803288961897</v>
      </c>
      <c r="H189">
        <f t="shared" si="18"/>
        <v>75.299162694926991</v>
      </c>
      <c r="I189">
        <f t="shared" si="19"/>
        <v>106.10863938600536</v>
      </c>
      <c r="J189">
        <f t="shared" si="20"/>
        <v>98.150874550343687</v>
      </c>
      <c r="K189">
        <f t="shared" si="21"/>
        <v>103.96425913384347</v>
      </c>
      <c r="L189">
        <f t="shared" si="22"/>
        <v>101.00445610514761</v>
      </c>
      <c r="M189">
        <f t="shared" si="23"/>
        <v>81.049973596245437</v>
      </c>
    </row>
    <row r="190" spans="4:13" x14ac:dyDescent="0.2">
      <c r="D190">
        <f t="shared" si="17"/>
        <v>109.13353190837266</v>
      </c>
      <c r="E190">
        <f t="shared" si="17"/>
        <v>100.2155869526358</v>
      </c>
      <c r="F190">
        <f t="shared" si="17"/>
        <v>105.82620699041266</v>
      </c>
      <c r="G190">
        <f t="shared" si="16"/>
        <v>100.33632774308558</v>
      </c>
      <c r="H190">
        <f t="shared" si="18"/>
        <v>75.041165214612647</v>
      </c>
      <c r="I190">
        <f t="shared" si="19"/>
        <v>105.00590223253748</v>
      </c>
      <c r="J190">
        <f t="shared" si="20"/>
        <v>97.389229605086129</v>
      </c>
      <c r="K190">
        <f t="shared" si="21"/>
        <v>103.75633292601962</v>
      </c>
      <c r="L190">
        <f t="shared" si="22"/>
        <v>100.98488856769319</v>
      </c>
      <c r="M190">
        <f t="shared" si="23"/>
        <v>80.845265560100216</v>
      </c>
    </row>
    <row r="191" spans="4:13" x14ac:dyDescent="0.2">
      <c r="D191">
        <f t="shared" si="17"/>
        <v>110.37958427849111</v>
      </c>
      <c r="E191">
        <f t="shared" si="17"/>
        <v>99.430965478443994</v>
      </c>
      <c r="F191">
        <f t="shared" si="17"/>
        <v>106.41553273953078</v>
      </c>
      <c r="G191">
        <f t="shared" si="16"/>
        <v>97.829003110370138</v>
      </c>
      <c r="H191">
        <f t="shared" si="18"/>
        <v>75.439316603187649</v>
      </c>
      <c r="I191">
        <f t="shared" si="19"/>
        <v>104.82458506240648</v>
      </c>
      <c r="J191">
        <f t="shared" si="20"/>
        <v>97.222115066464468</v>
      </c>
      <c r="K191">
        <f t="shared" si="21"/>
        <v>103.81949414201711</v>
      </c>
      <c r="L191">
        <f t="shared" si="22"/>
        <v>100.89601725127694</v>
      </c>
      <c r="M191">
        <f t="shared" si="23"/>
        <v>80.159103546264376</v>
      </c>
    </row>
    <row r="192" spans="4:13" x14ac:dyDescent="0.2">
      <c r="D192">
        <f t="shared" si="17"/>
        <v>107.83771169707489</v>
      </c>
      <c r="E192">
        <f t="shared" si="17"/>
        <v>98.472865645203584</v>
      </c>
      <c r="F192">
        <f t="shared" si="17"/>
        <v>107.77727375410313</v>
      </c>
      <c r="G192">
        <f t="shared" si="16"/>
        <v>99.895525451877276</v>
      </c>
      <c r="H192">
        <f t="shared" si="18"/>
        <v>75.811562252584508</v>
      </c>
      <c r="I192">
        <f t="shared" si="19"/>
        <v>105.4123452876712</v>
      </c>
      <c r="J192">
        <f t="shared" si="20"/>
        <v>95.916992978969361</v>
      </c>
      <c r="K192">
        <f t="shared" si="21"/>
        <v>105.08363483379337</v>
      </c>
      <c r="L192">
        <f t="shared" si="22"/>
        <v>100.10819613370599</v>
      </c>
      <c r="M192">
        <f t="shared" si="23"/>
        <v>81.199679638112087</v>
      </c>
    </row>
    <row r="193" spans="4:13" x14ac:dyDescent="0.2">
      <c r="D193">
        <f t="shared" si="17"/>
        <v>107.56852432609257</v>
      </c>
      <c r="E193">
        <f t="shared" si="17"/>
        <v>99.068992757111204</v>
      </c>
      <c r="F193">
        <f t="shared" si="17"/>
        <v>107.97057479344637</v>
      </c>
      <c r="G193">
        <f t="shared" si="16"/>
        <v>100.72126604324635</v>
      </c>
      <c r="H193">
        <f t="shared" si="18"/>
        <v>75.76278853055976</v>
      </c>
      <c r="I193">
        <f t="shared" si="19"/>
        <v>104.62302503039392</v>
      </c>
      <c r="J193">
        <f t="shared" si="20"/>
        <v>94.130836533747313</v>
      </c>
      <c r="K193">
        <f t="shared" si="21"/>
        <v>104.98682757234758</v>
      </c>
      <c r="L193">
        <f t="shared" si="22"/>
        <v>100.93407703540947</v>
      </c>
      <c r="M193">
        <f t="shared" si="23"/>
        <v>80.214500936889934</v>
      </c>
    </row>
    <row r="194" spans="4:13" x14ac:dyDescent="0.2">
      <c r="D194">
        <f t="shared" si="17"/>
        <v>107.9911930188109</v>
      </c>
      <c r="E194">
        <f t="shared" si="17"/>
        <v>99.439540254112387</v>
      </c>
      <c r="F194">
        <f t="shared" si="17"/>
        <v>108.74396326627249</v>
      </c>
      <c r="G194">
        <f t="shared" si="16"/>
        <v>101.89666123744996</v>
      </c>
      <c r="H194">
        <f t="shared" si="18"/>
        <v>76.258679258183889</v>
      </c>
      <c r="I194">
        <f t="shared" si="19"/>
        <v>102.98446609045801</v>
      </c>
      <c r="J194">
        <f t="shared" si="20"/>
        <v>91.92720059147068</v>
      </c>
      <c r="K194">
        <f t="shared" si="21"/>
        <v>105.72933817729968</v>
      </c>
      <c r="L194">
        <f t="shared" si="22"/>
        <v>102.2662768057093</v>
      </c>
      <c r="M194">
        <f t="shared" si="23"/>
        <v>80.062207259582905</v>
      </c>
    </row>
    <row r="195" spans="4:13" x14ac:dyDescent="0.2">
      <c r="D195">
        <f t="shared" si="17"/>
        <v>108.75578230875183</v>
      </c>
      <c r="E195">
        <f t="shared" si="17"/>
        <v>100.64516679848428</v>
      </c>
      <c r="F195">
        <f t="shared" si="17"/>
        <v>109.16261952027945</v>
      </c>
      <c r="G195">
        <f t="shared" si="16"/>
        <v>101.25987227303425</v>
      </c>
      <c r="H195">
        <f t="shared" si="18"/>
        <v>77.942133672923532</v>
      </c>
      <c r="I195">
        <f t="shared" si="19"/>
        <v>104.03738079854344</v>
      </c>
      <c r="J195">
        <f t="shared" si="20"/>
        <v>90.555318360174752</v>
      </c>
      <c r="K195">
        <f t="shared" si="21"/>
        <v>105.93676388027848</v>
      </c>
      <c r="L195">
        <f t="shared" si="22"/>
        <v>103.00917190726824</v>
      </c>
      <c r="M195">
        <f t="shared" si="23"/>
        <v>81.014745704672862</v>
      </c>
    </row>
    <row r="196" spans="4:13" x14ac:dyDescent="0.2">
      <c r="D196">
        <f t="shared" si="17"/>
        <v>109.45945474953467</v>
      </c>
      <c r="E196">
        <f t="shared" si="17"/>
        <v>102.00756874409055</v>
      </c>
      <c r="F196">
        <f t="shared" si="17"/>
        <v>109.01336356310254</v>
      </c>
      <c r="G196">
        <f t="shared" si="16"/>
        <v>98.644611954826217</v>
      </c>
      <c r="H196">
        <f t="shared" si="18"/>
        <v>78.930981642237739</v>
      </c>
      <c r="I196">
        <f t="shared" si="19"/>
        <v>105.05355797317854</v>
      </c>
      <c r="J196">
        <f t="shared" si="20"/>
        <v>90.659531040174286</v>
      </c>
      <c r="K196">
        <f t="shared" si="21"/>
        <v>105.12986365855407</v>
      </c>
      <c r="L196">
        <f t="shared" si="22"/>
        <v>102.45569853826323</v>
      </c>
      <c r="M196">
        <f t="shared" si="23"/>
        <v>81.49393256647177</v>
      </c>
    </row>
    <row r="197" spans="4:13" x14ac:dyDescent="0.2">
      <c r="D197">
        <f t="shared" si="17"/>
        <v>112.34943322107472</v>
      </c>
      <c r="E197">
        <f t="shared" si="17"/>
        <v>102.5886321987702</v>
      </c>
      <c r="F197">
        <f t="shared" si="17"/>
        <v>110.60550483882425</v>
      </c>
      <c r="G197">
        <f t="shared" si="16"/>
        <v>97.482223074198032</v>
      </c>
      <c r="H197">
        <f t="shared" si="18"/>
        <v>77.485455694101489</v>
      </c>
      <c r="I197">
        <f t="shared" si="19"/>
        <v>108.50070521290831</v>
      </c>
      <c r="J197">
        <f t="shared" si="20"/>
        <v>90.870283650521955</v>
      </c>
      <c r="K197">
        <f t="shared" si="21"/>
        <v>104.35162307145329</v>
      </c>
      <c r="L197">
        <f t="shared" si="22"/>
        <v>99.474180405056217</v>
      </c>
      <c r="M197">
        <f t="shared" si="23"/>
        <v>84.25598992603426</v>
      </c>
    </row>
    <row r="198" spans="4:13" x14ac:dyDescent="0.2">
      <c r="D198">
        <f t="shared" si="17"/>
        <v>112.21068918822847</v>
      </c>
      <c r="E198">
        <f t="shared" si="17"/>
        <v>102.89223194497792</v>
      </c>
      <c r="F198">
        <f t="shared" si="17"/>
        <v>111.39660887100818</v>
      </c>
      <c r="G198">
        <f t="shared" si="16"/>
        <v>99.207450363609894</v>
      </c>
      <c r="H198">
        <f t="shared" si="18"/>
        <v>76.783653977959034</v>
      </c>
      <c r="I198">
        <f t="shared" si="19"/>
        <v>106.39499509822632</v>
      </c>
      <c r="J198">
        <f t="shared" si="20"/>
        <v>92.093040443155957</v>
      </c>
      <c r="K198">
        <f t="shared" si="21"/>
        <v>104.01505659622656</v>
      </c>
      <c r="L198">
        <f t="shared" si="22"/>
        <v>100.45218382691306</v>
      </c>
      <c r="M198">
        <f t="shared" si="23"/>
        <v>83.106962041464541</v>
      </c>
    </row>
    <row r="199" spans="4:13" x14ac:dyDescent="0.2">
      <c r="D199">
        <f t="shared" si="17"/>
        <v>113.81377099001151</v>
      </c>
      <c r="E199">
        <f t="shared" si="17"/>
        <v>103.25508542234492</v>
      </c>
      <c r="F199">
        <f t="shared" si="17"/>
        <v>108.50195509467795</v>
      </c>
      <c r="G199">
        <f t="shared" si="16"/>
        <v>98.225391969796121</v>
      </c>
      <c r="H199">
        <f t="shared" si="18"/>
        <v>75.884681740239643</v>
      </c>
      <c r="I199">
        <f t="shared" si="19"/>
        <v>105.63668362707027</v>
      </c>
      <c r="J199">
        <f t="shared" si="20"/>
        <v>90.882982817408106</v>
      </c>
      <c r="K199">
        <f t="shared" si="21"/>
        <v>101.25746799766738</v>
      </c>
      <c r="L199">
        <f t="shared" si="22"/>
        <v>99.671076773525073</v>
      </c>
      <c r="M199">
        <f t="shared" si="23"/>
        <v>85.853527292442777</v>
      </c>
    </row>
    <row r="200" spans="4:13" x14ac:dyDescent="0.2">
      <c r="D200">
        <f t="shared" si="17"/>
        <v>114.97121622341947</v>
      </c>
      <c r="E200">
        <f t="shared" si="17"/>
        <v>103.53522078458637</v>
      </c>
      <c r="F200">
        <f t="shared" si="17"/>
        <v>110.23445952062089</v>
      </c>
      <c r="G200">
        <f t="shared" si="16"/>
        <v>98.66564588420141</v>
      </c>
      <c r="H200">
        <f t="shared" si="18"/>
        <v>76.441521891397159</v>
      </c>
      <c r="I200">
        <f t="shared" si="19"/>
        <v>105.16222343950294</v>
      </c>
      <c r="J200">
        <f t="shared" si="20"/>
        <v>90.787468941307097</v>
      </c>
      <c r="K200">
        <f t="shared" si="21"/>
        <v>103.0348298396752</v>
      </c>
      <c r="L200">
        <f t="shared" si="22"/>
        <v>100.03830316170901</v>
      </c>
      <c r="M200">
        <f t="shared" si="23"/>
        <v>84.882660282904382</v>
      </c>
    </row>
    <row r="201" spans="4:13" x14ac:dyDescent="0.2">
      <c r="D201">
        <f t="shared" si="17"/>
        <v>115.31886838702573</v>
      </c>
      <c r="E201">
        <f t="shared" si="17"/>
        <v>104.19298978772453</v>
      </c>
      <c r="F201">
        <f t="shared" si="17"/>
        <v>112.57419373304573</v>
      </c>
      <c r="G201">
        <f t="shared" si="17"/>
        <v>98.407069826381303</v>
      </c>
      <c r="H201">
        <f t="shared" si="18"/>
        <v>76.284198867185808</v>
      </c>
      <c r="I201">
        <f t="shared" si="19"/>
        <v>106.66029776535242</v>
      </c>
      <c r="J201">
        <f t="shared" si="20"/>
        <v>91.335443677137988</v>
      </c>
      <c r="K201">
        <f t="shared" si="21"/>
        <v>101.86586351846314</v>
      </c>
      <c r="L201">
        <f t="shared" si="22"/>
        <v>99.766429811149791</v>
      </c>
      <c r="M201">
        <f t="shared" si="23"/>
        <v>85.651359404784557</v>
      </c>
    </row>
    <row r="202" spans="4:13" x14ac:dyDescent="0.2">
      <c r="D202">
        <f t="shared" ref="D202:G260" si="24">Traj(D201,$D$2,$D$3,$D$4,$D$5)</f>
        <v>113.07500571181319</v>
      </c>
      <c r="E202">
        <f t="shared" si="24"/>
        <v>102.41434133154668</v>
      </c>
      <c r="F202">
        <f t="shared" si="24"/>
        <v>112.44799544688519</v>
      </c>
      <c r="G202">
        <f t="shared" si="24"/>
        <v>98.388139076405707</v>
      </c>
      <c r="H202">
        <f t="shared" ref="H202:H260" si="25">Traj(H201,$D$2,$D$3,$D$4,$D$5)</f>
        <v>75.337841348086414</v>
      </c>
      <c r="I202">
        <f t="shared" ref="I202:I260" si="26">Traj(I201,$D$2,$D$3,$D$4,$D$5)</f>
        <v>108.38897363946622</v>
      </c>
      <c r="J202">
        <f t="shared" ref="J202:J260" si="27">Traj(J201,$D$2,$D$3,$D$4,$D$5)</f>
        <v>91.833166624944752</v>
      </c>
      <c r="K202">
        <f t="shared" ref="K202:K260" si="28">Traj(K201,$D$2,$D$3,$D$4,$D$5)</f>
        <v>103.67701458711154</v>
      </c>
      <c r="L202">
        <f t="shared" ref="L202:L260" si="29">Traj(L201,$D$2,$D$3,$D$4,$D$5)</f>
        <v>100.50792200582764</v>
      </c>
      <c r="M202">
        <f t="shared" ref="M202:M260" si="30">Traj(M201,$D$2,$D$3,$D$4,$D$5)</f>
        <v>86.245540745740882</v>
      </c>
    </row>
    <row r="203" spans="4:13" x14ac:dyDescent="0.2">
      <c r="D203">
        <f t="shared" si="24"/>
        <v>113.03947782259395</v>
      </c>
      <c r="E203">
        <f t="shared" si="24"/>
        <v>101.34604137701173</v>
      </c>
      <c r="F203">
        <f t="shared" si="24"/>
        <v>112.56175428534225</v>
      </c>
      <c r="G203">
        <f t="shared" si="24"/>
        <v>96.020555609105941</v>
      </c>
      <c r="H203">
        <f t="shared" si="25"/>
        <v>76.007766877339449</v>
      </c>
      <c r="I203">
        <f t="shared" si="26"/>
        <v>107.56292723015983</v>
      </c>
      <c r="J203">
        <f t="shared" si="27"/>
        <v>92.402719753417486</v>
      </c>
      <c r="K203">
        <f t="shared" si="28"/>
        <v>104.43625977488729</v>
      </c>
      <c r="L203">
        <f t="shared" si="29"/>
        <v>100.15500513758371</v>
      </c>
      <c r="M203">
        <f t="shared" si="30"/>
        <v>86.053564545141285</v>
      </c>
    </row>
    <row r="204" spans="4:13" x14ac:dyDescent="0.2">
      <c r="D204">
        <f t="shared" si="24"/>
        <v>112.70109762339359</v>
      </c>
      <c r="E204">
        <f t="shared" si="24"/>
        <v>99.748289725107242</v>
      </c>
      <c r="F204">
        <f t="shared" si="24"/>
        <v>111.71310159277773</v>
      </c>
      <c r="G204">
        <f t="shared" si="24"/>
        <v>97.081591971849662</v>
      </c>
      <c r="H204">
        <f t="shared" si="25"/>
        <v>75.835107742202709</v>
      </c>
      <c r="I204">
        <f t="shared" si="26"/>
        <v>107.11709686198682</v>
      </c>
      <c r="J204">
        <f t="shared" si="27"/>
        <v>93.092009747594318</v>
      </c>
      <c r="K204">
        <f t="shared" si="28"/>
        <v>103.63503763698679</v>
      </c>
      <c r="L204">
        <f t="shared" si="29"/>
        <v>101.76105920050176</v>
      </c>
      <c r="M204">
        <f t="shared" si="30"/>
        <v>85.851544714644632</v>
      </c>
    </row>
    <row r="205" spans="4:13" x14ac:dyDescent="0.2">
      <c r="D205">
        <f t="shared" si="24"/>
        <v>115.02347054437584</v>
      </c>
      <c r="E205">
        <f t="shared" si="24"/>
        <v>98.02898524872063</v>
      </c>
      <c r="F205">
        <f t="shared" si="24"/>
        <v>110.68446054931046</v>
      </c>
      <c r="G205">
        <f t="shared" si="24"/>
        <v>95.500756448560935</v>
      </c>
      <c r="H205">
        <f t="shared" si="25"/>
        <v>76.246054403086831</v>
      </c>
      <c r="I205">
        <f t="shared" si="26"/>
        <v>105.41316591107538</v>
      </c>
      <c r="J205">
        <f t="shared" si="27"/>
        <v>92.264297074689068</v>
      </c>
      <c r="K205">
        <f t="shared" si="28"/>
        <v>101.96263368783137</v>
      </c>
      <c r="L205">
        <f t="shared" si="29"/>
        <v>101.62437315604876</v>
      </c>
      <c r="M205">
        <f t="shared" si="30"/>
        <v>85.308793061728196</v>
      </c>
    </row>
    <row r="206" spans="4:13" x14ac:dyDescent="0.2">
      <c r="D206">
        <f t="shared" si="24"/>
        <v>115.36217321820142</v>
      </c>
      <c r="E206">
        <f t="shared" si="24"/>
        <v>98.550832285759256</v>
      </c>
      <c r="F206">
        <f t="shared" si="24"/>
        <v>112.19470807891386</v>
      </c>
      <c r="G206">
        <f t="shared" si="24"/>
        <v>96.793686868037</v>
      </c>
      <c r="H206">
        <f t="shared" si="25"/>
        <v>76.34091566023632</v>
      </c>
      <c r="I206">
        <f t="shared" si="26"/>
        <v>105.01416361160247</v>
      </c>
      <c r="J206">
        <f t="shared" si="27"/>
        <v>93.324375779702407</v>
      </c>
      <c r="K206">
        <f t="shared" si="28"/>
        <v>101.3633233297852</v>
      </c>
      <c r="L206">
        <f t="shared" si="29"/>
        <v>100.46004318864497</v>
      </c>
      <c r="M206">
        <f t="shared" si="30"/>
        <v>84.610764242341347</v>
      </c>
    </row>
    <row r="207" spans="4:13" x14ac:dyDescent="0.2">
      <c r="D207">
        <f t="shared" si="24"/>
        <v>116.90967121314192</v>
      </c>
      <c r="E207">
        <f t="shared" si="24"/>
        <v>99.0017806080768</v>
      </c>
      <c r="F207">
        <f t="shared" si="24"/>
        <v>112.38985098382898</v>
      </c>
      <c r="G207">
        <f t="shared" si="24"/>
        <v>98.336147907334365</v>
      </c>
      <c r="H207">
        <f t="shared" si="25"/>
        <v>75.643407544086529</v>
      </c>
      <c r="I207">
        <f t="shared" si="26"/>
        <v>105.05302402693427</v>
      </c>
      <c r="J207">
        <f t="shared" si="27"/>
        <v>92.385654728368223</v>
      </c>
      <c r="K207">
        <f t="shared" si="28"/>
        <v>101.37852245477072</v>
      </c>
      <c r="L207">
        <f t="shared" si="29"/>
        <v>100.91820230957896</v>
      </c>
      <c r="M207">
        <f t="shared" si="30"/>
        <v>84.296618971044964</v>
      </c>
    </row>
    <row r="208" spans="4:13" x14ac:dyDescent="0.2">
      <c r="D208">
        <f t="shared" si="24"/>
        <v>118.84949143424602</v>
      </c>
      <c r="E208">
        <f t="shared" si="24"/>
        <v>98.302328398986319</v>
      </c>
      <c r="F208">
        <f t="shared" si="24"/>
        <v>113.51419797199942</v>
      </c>
      <c r="G208">
        <f t="shared" si="24"/>
        <v>98.893575964406281</v>
      </c>
      <c r="H208">
        <f t="shared" si="25"/>
        <v>75.724750104856213</v>
      </c>
      <c r="I208">
        <f t="shared" si="26"/>
        <v>104.3640365314119</v>
      </c>
      <c r="J208">
        <f t="shared" si="27"/>
        <v>93.712812422712489</v>
      </c>
      <c r="K208">
        <f t="shared" si="28"/>
        <v>100.91668950136408</v>
      </c>
      <c r="L208">
        <f t="shared" si="29"/>
        <v>101.54888509257853</v>
      </c>
      <c r="M208">
        <f t="shared" si="30"/>
        <v>85.499069408513293</v>
      </c>
    </row>
    <row r="209" spans="4:13" x14ac:dyDescent="0.2">
      <c r="D209">
        <f t="shared" si="24"/>
        <v>116.56855447297283</v>
      </c>
      <c r="E209">
        <f t="shared" si="24"/>
        <v>99.334203879006466</v>
      </c>
      <c r="F209">
        <f t="shared" si="24"/>
        <v>115.45268089782513</v>
      </c>
      <c r="G209">
        <f t="shared" si="24"/>
        <v>98.485989812041794</v>
      </c>
      <c r="H209">
        <f t="shared" si="25"/>
        <v>76.749232203479707</v>
      </c>
      <c r="I209">
        <f t="shared" si="26"/>
        <v>106.39898341189735</v>
      </c>
      <c r="J209">
        <f t="shared" si="27"/>
        <v>92.374020021125062</v>
      </c>
      <c r="K209">
        <f t="shared" si="28"/>
        <v>100.48126578056352</v>
      </c>
      <c r="L209">
        <f t="shared" si="29"/>
        <v>103.24629213503562</v>
      </c>
      <c r="M209">
        <f t="shared" si="30"/>
        <v>86.192436492927584</v>
      </c>
    </row>
    <row r="210" spans="4:13" x14ac:dyDescent="0.2">
      <c r="D210">
        <f t="shared" si="24"/>
        <v>116.6802598351574</v>
      </c>
      <c r="E210">
        <f t="shared" si="24"/>
        <v>101.6750360792292</v>
      </c>
      <c r="F210">
        <f t="shared" si="24"/>
        <v>116.93332965027713</v>
      </c>
      <c r="G210">
        <f t="shared" si="24"/>
        <v>98.487153069477955</v>
      </c>
      <c r="H210">
        <f t="shared" si="25"/>
        <v>76.773918449013678</v>
      </c>
      <c r="I210">
        <f t="shared" si="26"/>
        <v>107.30943091240452</v>
      </c>
      <c r="J210">
        <f t="shared" si="27"/>
        <v>92.683567973863774</v>
      </c>
      <c r="K210">
        <f t="shared" si="28"/>
        <v>101.01506630990063</v>
      </c>
      <c r="L210">
        <f t="shared" si="29"/>
        <v>104.12126062622374</v>
      </c>
      <c r="M210">
        <f t="shared" si="30"/>
        <v>86.41269507215749</v>
      </c>
    </row>
    <row r="211" spans="4:13" x14ac:dyDescent="0.2">
      <c r="D211">
        <f t="shared" si="24"/>
        <v>117.44812218311907</v>
      </c>
      <c r="E211">
        <f t="shared" si="24"/>
        <v>101.05636021224024</v>
      </c>
      <c r="F211">
        <f t="shared" si="24"/>
        <v>118.79014907152302</v>
      </c>
      <c r="G211">
        <f t="shared" si="24"/>
        <v>98.912819469745799</v>
      </c>
      <c r="H211">
        <f t="shared" si="25"/>
        <v>77.481665280720136</v>
      </c>
      <c r="I211">
        <f t="shared" si="26"/>
        <v>106.79760654174382</v>
      </c>
      <c r="J211">
        <f t="shared" si="27"/>
        <v>91.652695170029219</v>
      </c>
      <c r="K211">
        <f t="shared" si="28"/>
        <v>98.922950506258587</v>
      </c>
      <c r="L211">
        <f t="shared" si="29"/>
        <v>104.52723134729453</v>
      </c>
      <c r="M211">
        <f t="shared" si="30"/>
        <v>86.124464450860458</v>
      </c>
    </row>
    <row r="212" spans="4:13" x14ac:dyDescent="0.2">
      <c r="D212">
        <f t="shared" si="24"/>
        <v>121.87378638152489</v>
      </c>
      <c r="E212">
        <f t="shared" si="24"/>
        <v>102.43467423034215</v>
      </c>
      <c r="F212">
        <f t="shared" si="24"/>
        <v>116.71254391259157</v>
      </c>
      <c r="G212">
        <f t="shared" si="24"/>
        <v>98.959523981805646</v>
      </c>
      <c r="H212">
        <f t="shared" si="25"/>
        <v>75.346521765305781</v>
      </c>
      <c r="I212">
        <f t="shared" si="26"/>
        <v>107.66222136001706</v>
      </c>
      <c r="J212">
        <f t="shared" si="27"/>
        <v>89.98910129959441</v>
      </c>
      <c r="K212">
        <f t="shared" si="28"/>
        <v>99.88690171513511</v>
      </c>
      <c r="L212">
        <f t="shared" si="29"/>
        <v>105.64725730048931</v>
      </c>
      <c r="M212">
        <f t="shared" si="30"/>
        <v>83.786618090650535</v>
      </c>
    </row>
    <row r="213" spans="4:13" x14ac:dyDescent="0.2">
      <c r="D213">
        <f t="shared" si="24"/>
        <v>122.78037475791876</v>
      </c>
      <c r="E213">
        <f t="shared" si="24"/>
        <v>101.05321048887332</v>
      </c>
      <c r="F213">
        <f t="shared" si="24"/>
        <v>114.60682039031084</v>
      </c>
      <c r="G213">
        <f t="shared" si="24"/>
        <v>98.118836873844359</v>
      </c>
      <c r="H213">
        <f t="shared" si="25"/>
        <v>74.607206918059532</v>
      </c>
      <c r="I213">
        <f t="shared" si="26"/>
        <v>109.4301009258934</v>
      </c>
      <c r="J213">
        <f t="shared" si="27"/>
        <v>90.171150068257319</v>
      </c>
      <c r="K213">
        <f t="shared" si="28"/>
        <v>101.73867993763319</v>
      </c>
      <c r="L213">
        <f t="shared" si="29"/>
        <v>107.20723802201034</v>
      </c>
      <c r="M213">
        <f t="shared" si="30"/>
        <v>85.003464656561164</v>
      </c>
    </row>
    <row r="214" spans="4:13" x14ac:dyDescent="0.2">
      <c r="D214">
        <f t="shared" si="24"/>
        <v>120.24296910643332</v>
      </c>
      <c r="E214">
        <f t="shared" si="24"/>
        <v>102.06182291304349</v>
      </c>
      <c r="F214">
        <f t="shared" si="24"/>
        <v>114.438230002612</v>
      </c>
      <c r="G214">
        <f t="shared" si="24"/>
        <v>99.82158320457728</v>
      </c>
      <c r="H214">
        <f t="shared" si="25"/>
        <v>75.343055659077777</v>
      </c>
      <c r="I214">
        <f t="shared" si="26"/>
        <v>109.20936782314438</v>
      </c>
      <c r="J214">
        <f t="shared" si="27"/>
        <v>91.248367893686947</v>
      </c>
      <c r="K214">
        <f t="shared" si="28"/>
        <v>101.50330497425641</v>
      </c>
      <c r="L214">
        <f t="shared" si="29"/>
        <v>106.7503234462679</v>
      </c>
      <c r="M214">
        <f t="shared" si="30"/>
        <v>85.286943223735705</v>
      </c>
    </row>
    <row r="215" spans="4:13" x14ac:dyDescent="0.2">
      <c r="D215">
        <f t="shared" si="24"/>
        <v>119.25336763550888</v>
      </c>
      <c r="E215">
        <f t="shared" si="24"/>
        <v>102.42596222820775</v>
      </c>
      <c r="F215">
        <f t="shared" si="24"/>
        <v>114.88468265754101</v>
      </c>
      <c r="G215">
        <f t="shared" si="24"/>
        <v>96.957743707310343</v>
      </c>
      <c r="H215">
        <f t="shared" si="25"/>
        <v>75.756245112892714</v>
      </c>
      <c r="I215">
        <f t="shared" si="26"/>
        <v>107.96997816638991</v>
      </c>
      <c r="J215">
        <f t="shared" si="27"/>
        <v>90.834671119249947</v>
      </c>
      <c r="K215">
        <f t="shared" si="28"/>
        <v>100.56666869655429</v>
      </c>
      <c r="L215">
        <f t="shared" si="29"/>
        <v>109.39642720262309</v>
      </c>
      <c r="M215">
        <f t="shared" si="30"/>
        <v>86.085135563544313</v>
      </c>
    </row>
    <row r="216" spans="4:13" x14ac:dyDescent="0.2">
      <c r="D216">
        <f t="shared" si="24"/>
        <v>118.38578760941951</v>
      </c>
      <c r="E216">
        <f t="shared" si="24"/>
        <v>101.54139436478302</v>
      </c>
      <c r="F216">
        <f t="shared" si="24"/>
        <v>116.10190364059703</v>
      </c>
      <c r="G216">
        <f t="shared" si="24"/>
        <v>96.941857105328125</v>
      </c>
      <c r="H216">
        <f t="shared" si="25"/>
        <v>75.793375809199148</v>
      </c>
      <c r="I216">
        <f t="shared" si="26"/>
        <v>109.69186763293818</v>
      </c>
      <c r="J216">
        <f t="shared" si="27"/>
        <v>89.648610506222028</v>
      </c>
      <c r="K216">
        <f t="shared" si="28"/>
        <v>101.15092198386633</v>
      </c>
      <c r="L216">
        <f t="shared" si="29"/>
        <v>107.07922605737227</v>
      </c>
      <c r="M216">
        <f t="shared" si="30"/>
        <v>86.885653284428571</v>
      </c>
    </row>
    <row r="217" spans="4:13" x14ac:dyDescent="0.2">
      <c r="D217">
        <f t="shared" si="24"/>
        <v>118.95777517718537</v>
      </c>
      <c r="E217">
        <f t="shared" si="24"/>
        <v>102.28942238645442</v>
      </c>
      <c r="F217">
        <f t="shared" si="24"/>
        <v>113.35263020072784</v>
      </c>
      <c r="G217">
        <f t="shared" si="24"/>
        <v>96.46949025151099</v>
      </c>
      <c r="H217">
        <f t="shared" si="25"/>
        <v>76.293042622424665</v>
      </c>
      <c r="I217">
        <f t="shared" si="26"/>
        <v>108.19777910588911</v>
      </c>
      <c r="J217">
        <f t="shared" si="27"/>
        <v>91.49775461839846</v>
      </c>
      <c r="K217">
        <f t="shared" si="28"/>
        <v>99.813115459280652</v>
      </c>
      <c r="L217">
        <f t="shared" si="29"/>
        <v>107.44366892844255</v>
      </c>
      <c r="M217">
        <f t="shared" si="30"/>
        <v>89.012117428825022</v>
      </c>
    </row>
    <row r="218" spans="4:13" x14ac:dyDescent="0.2">
      <c r="D218">
        <f t="shared" si="24"/>
        <v>116.51103147490181</v>
      </c>
      <c r="E218">
        <f t="shared" si="24"/>
        <v>102.46565463769393</v>
      </c>
      <c r="F218">
        <f t="shared" si="24"/>
        <v>111.64590504986444</v>
      </c>
      <c r="G218">
        <f t="shared" si="24"/>
        <v>94.26805735232621</v>
      </c>
      <c r="H218">
        <f t="shared" si="25"/>
        <v>76.870172193665525</v>
      </c>
      <c r="I218">
        <f t="shared" si="26"/>
        <v>108.97357775577089</v>
      </c>
      <c r="J218">
        <f t="shared" si="27"/>
        <v>90.738227516390083</v>
      </c>
      <c r="K218">
        <f t="shared" si="28"/>
        <v>98.905328958665663</v>
      </c>
      <c r="L218">
        <f t="shared" si="29"/>
        <v>107.42946383993623</v>
      </c>
      <c r="M218">
        <f t="shared" si="30"/>
        <v>90.013683628102385</v>
      </c>
    </row>
    <row r="219" spans="4:13" x14ac:dyDescent="0.2">
      <c r="D219">
        <f t="shared" si="24"/>
        <v>117.53592518016463</v>
      </c>
      <c r="E219">
        <f t="shared" si="24"/>
        <v>102.30868575199693</v>
      </c>
      <c r="F219">
        <f t="shared" si="24"/>
        <v>111.85540042976079</v>
      </c>
      <c r="G219">
        <f t="shared" si="24"/>
        <v>94.377130005612628</v>
      </c>
      <c r="H219">
        <f t="shared" si="25"/>
        <v>76.792736985405767</v>
      </c>
      <c r="I219">
        <f t="shared" si="26"/>
        <v>108.0833029519283</v>
      </c>
      <c r="J219">
        <f t="shared" si="27"/>
        <v>91.096896424248371</v>
      </c>
      <c r="K219">
        <f t="shared" si="28"/>
        <v>98.220957030236917</v>
      </c>
      <c r="L219">
        <f t="shared" si="29"/>
        <v>107.62651379044337</v>
      </c>
      <c r="M219">
        <f t="shared" si="30"/>
        <v>90.987636060885492</v>
      </c>
    </row>
    <row r="220" spans="4:13" x14ac:dyDescent="0.2">
      <c r="D220">
        <f t="shared" si="24"/>
        <v>118.09469799012344</v>
      </c>
      <c r="E220">
        <f t="shared" si="24"/>
        <v>100.27169661264506</v>
      </c>
      <c r="F220">
        <f t="shared" si="24"/>
        <v>110.57757405612232</v>
      </c>
      <c r="G220">
        <f t="shared" si="24"/>
        <v>94.73810563904928</v>
      </c>
      <c r="H220">
        <f t="shared" si="25"/>
        <v>77.219404931021913</v>
      </c>
      <c r="I220">
        <f t="shared" si="26"/>
        <v>109.45521476410167</v>
      </c>
      <c r="J220">
        <f t="shared" si="27"/>
        <v>90.735899853148439</v>
      </c>
      <c r="K220">
        <f t="shared" si="28"/>
        <v>95.05181254743357</v>
      </c>
      <c r="L220">
        <f t="shared" si="29"/>
        <v>109.16495277034245</v>
      </c>
      <c r="M220">
        <f t="shared" si="30"/>
        <v>91.472832308487483</v>
      </c>
    </row>
    <row r="221" spans="4:13" x14ac:dyDescent="0.2">
      <c r="D221">
        <f t="shared" si="24"/>
        <v>116.60350750133249</v>
      </c>
      <c r="E221">
        <f t="shared" si="24"/>
        <v>100.71510451002716</v>
      </c>
      <c r="F221">
        <f t="shared" si="24"/>
        <v>108.06997703529608</v>
      </c>
      <c r="G221">
        <f t="shared" si="24"/>
        <v>92.341349299467097</v>
      </c>
      <c r="H221">
        <f t="shared" si="25"/>
        <v>76.442055341924402</v>
      </c>
      <c r="I221">
        <f t="shared" si="26"/>
        <v>110.17974373624239</v>
      </c>
      <c r="J221">
        <f t="shared" si="27"/>
        <v>90.661586882489004</v>
      </c>
      <c r="K221">
        <f t="shared" si="28"/>
        <v>94.481548525307431</v>
      </c>
      <c r="L221">
        <f t="shared" si="29"/>
        <v>108.92488384465891</v>
      </c>
      <c r="M221">
        <f t="shared" si="30"/>
        <v>90.447212418934967</v>
      </c>
    </row>
    <row r="222" spans="4:13" x14ac:dyDescent="0.2">
      <c r="D222">
        <f t="shared" si="24"/>
        <v>118.50052319039861</v>
      </c>
      <c r="E222">
        <f t="shared" si="24"/>
        <v>100.62245054790182</v>
      </c>
      <c r="F222">
        <f t="shared" si="24"/>
        <v>108.20910119158617</v>
      </c>
      <c r="G222">
        <f t="shared" si="24"/>
        <v>93.75782916898001</v>
      </c>
      <c r="H222">
        <f t="shared" si="25"/>
        <v>77.220721309377723</v>
      </c>
      <c r="I222">
        <f t="shared" si="26"/>
        <v>108.20415216559907</v>
      </c>
      <c r="J222">
        <f t="shared" si="27"/>
        <v>93.070979789861795</v>
      </c>
      <c r="K222">
        <f t="shared" si="28"/>
        <v>93.848834516103608</v>
      </c>
      <c r="L222">
        <f t="shared" si="29"/>
        <v>108.94903138114756</v>
      </c>
      <c r="M222">
        <f t="shared" si="30"/>
        <v>92.029766699573031</v>
      </c>
    </row>
    <row r="223" spans="4:13" x14ac:dyDescent="0.2">
      <c r="D223">
        <f t="shared" si="24"/>
        <v>118.0929780280361</v>
      </c>
      <c r="E223">
        <f t="shared" si="24"/>
        <v>100.57256438810128</v>
      </c>
      <c r="F223">
        <f t="shared" si="24"/>
        <v>109.67542830084925</v>
      </c>
      <c r="G223">
        <f t="shared" si="24"/>
        <v>95.613463947655475</v>
      </c>
      <c r="H223">
        <f t="shared" si="25"/>
        <v>79.021376291452725</v>
      </c>
      <c r="I223">
        <f t="shared" si="26"/>
        <v>110.5142144626778</v>
      </c>
      <c r="J223">
        <f t="shared" si="27"/>
        <v>92.970664870103292</v>
      </c>
      <c r="K223">
        <f t="shared" si="28"/>
        <v>95.497148356829854</v>
      </c>
      <c r="L223">
        <f t="shared" si="29"/>
        <v>110.13357302188815</v>
      </c>
      <c r="M223">
        <f t="shared" si="30"/>
        <v>92.464650592983233</v>
      </c>
    </row>
    <row r="224" spans="4:13" x14ac:dyDescent="0.2">
      <c r="D224">
        <f t="shared" si="24"/>
        <v>117.34401303625164</v>
      </c>
      <c r="E224">
        <f t="shared" si="24"/>
        <v>99.830440270205429</v>
      </c>
      <c r="F224">
        <f t="shared" si="24"/>
        <v>110.05776310705009</v>
      </c>
      <c r="G224">
        <f t="shared" si="24"/>
        <v>96.871245853801966</v>
      </c>
      <c r="H224">
        <f t="shared" si="25"/>
        <v>78.778360035465752</v>
      </c>
      <c r="I224">
        <f t="shared" si="26"/>
        <v>110.61999468346448</v>
      </c>
      <c r="J224">
        <f t="shared" si="27"/>
        <v>94.1799941531862</v>
      </c>
      <c r="K224">
        <f t="shared" si="28"/>
        <v>95.371433945620311</v>
      </c>
      <c r="L224">
        <f t="shared" si="29"/>
        <v>108.00162690067418</v>
      </c>
      <c r="M224">
        <f t="shared" si="30"/>
        <v>92.86080970504419</v>
      </c>
    </row>
    <row r="225" spans="4:13" x14ac:dyDescent="0.2">
      <c r="D225">
        <f t="shared" si="24"/>
        <v>120.37327963714954</v>
      </c>
      <c r="E225">
        <f t="shared" si="24"/>
        <v>98.020356274686407</v>
      </c>
      <c r="F225">
        <f t="shared" si="24"/>
        <v>107.7918712294877</v>
      </c>
      <c r="G225">
        <f t="shared" si="24"/>
        <v>98.414480887755332</v>
      </c>
      <c r="H225">
        <f t="shared" si="25"/>
        <v>78.535402939666852</v>
      </c>
      <c r="I225">
        <f t="shared" si="26"/>
        <v>112.2602105960584</v>
      </c>
      <c r="J225">
        <f t="shared" si="27"/>
        <v>94.208305137438302</v>
      </c>
      <c r="K225">
        <f t="shared" si="28"/>
        <v>96.656548855543321</v>
      </c>
      <c r="L225">
        <f t="shared" si="29"/>
        <v>106.78886264296614</v>
      </c>
      <c r="M225">
        <f t="shared" si="30"/>
        <v>92.403835254208488</v>
      </c>
    </row>
    <row r="226" spans="4:13" x14ac:dyDescent="0.2">
      <c r="D226">
        <f t="shared" si="24"/>
        <v>120.77151076649174</v>
      </c>
      <c r="E226">
        <f t="shared" si="24"/>
        <v>98.950211947780616</v>
      </c>
      <c r="F226">
        <f t="shared" si="24"/>
        <v>108.17512649625527</v>
      </c>
      <c r="G226">
        <f t="shared" si="24"/>
        <v>98.068817517998639</v>
      </c>
      <c r="H226">
        <f t="shared" si="25"/>
        <v>80.363127837170623</v>
      </c>
      <c r="I226">
        <f t="shared" si="26"/>
        <v>112.70912248468238</v>
      </c>
      <c r="J226">
        <f t="shared" si="27"/>
        <v>96.025667564094221</v>
      </c>
      <c r="K226">
        <f t="shared" si="28"/>
        <v>96.113797755585651</v>
      </c>
      <c r="L226">
        <f t="shared" si="29"/>
        <v>104.64887962394195</v>
      </c>
      <c r="M226">
        <f t="shared" si="30"/>
        <v>92.073443917417151</v>
      </c>
    </row>
    <row r="227" spans="4:13" x14ac:dyDescent="0.2">
      <c r="D227">
        <f t="shared" si="24"/>
        <v>119.44699632885033</v>
      </c>
      <c r="E227">
        <f t="shared" si="24"/>
        <v>98.087288854905324</v>
      </c>
      <c r="F227">
        <f t="shared" si="24"/>
        <v>108.61104798998414</v>
      </c>
      <c r="G227">
        <f t="shared" si="24"/>
        <v>98.667084026230938</v>
      </c>
      <c r="H227">
        <f t="shared" si="25"/>
        <v>79.319144454338101</v>
      </c>
      <c r="I227">
        <f t="shared" si="26"/>
        <v>114.1395137548016</v>
      </c>
      <c r="J227">
        <f t="shared" si="27"/>
        <v>94.128997917989366</v>
      </c>
      <c r="K227">
        <f t="shared" si="28"/>
        <v>98.451990838714323</v>
      </c>
      <c r="L227">
        <f t="shared" si="29"/>
        <v>105.59974751977182</v>
      </c>
      <c r="M227">
        <f t="shared" si="30"/>
        <v>90.788860031489321</v>
      </c>
    </row>
    <row r="228" spans="4:13" x14ac:dyDescent="0.2">
      <c r="D228">
        <f t="shared" si="24"/>
        <v>118.30380842259247</v>
      </c>
      <c r="E228">
        <f t="shared" si="24"/>
        <v>97.394668567424176</v>
      </c>
      <c r="F228">
        <f t="shared" si="24"/>
        <v>109.82003742590791</v>
      </c>
      <c r="G228">
        <f t="shared" si="24"/>
        <v>98.271748587179374</v>
      </c>
      <c r="H228">
        <f t="shared" si="25"/>
        <v>80.125669087304544</v>
      </c>
      <c r="I228">
        <f t="shared" si="26"/>
        <v>114.5606465495039</v>
      </c>
      <c r="J228">
        <f t="shared" si="27"/>
        <v>93.629336153949211</v>
      </c>
      <c r="K228">
        <f t="shared" si="28"/>
        <v>99.683729231511975</v>
      </c>
      <c r="L228">
        <f t="shared" si="29"/>
        <v>103.76461666104271</v>
      </c>
      <c r="M228">
        <f t="shared" si="30"/>
        <v>88.584246064904676</v>
      </c>
    </row>
    <row r="229" spans="4:13" x14ac:dyDescent="0.2">
      <c r="D229">
        <f t="shared" si="24"/>
        <v>116.81900970836253</v>
      </c>
      <c r="E229">
        <f t="shared" si="24"/>
        <v>97.900498346616061</v>
      </c>
      <c r="F229">
        <f t="shared" si="24"/>
        <v>108.88123590340662</v>
      </c>
      <c r="G229">
        <f t="shared" si="24"/>
        <v>97.611013564271147</v>
      </c>
      <c r="H229">
        <f t="shared" si="25"/>
        <v>80.789746510425786</v>
      </c>
      <c r="I229">
        <f t="shared" si="26"/>
        <v>115.14716307524135</v>
      </c>
      <c r="J229">
        <f t="shared" si="27"/>
        <v>93.072605465822178</v>
      </c>
      <c r="K229">
        <f t="shared" si="28"/>
        <v>100.09725477168782</v>
      </c>
      <c r="L229">
        <f t="shared" si="29"/>
        <v>102.98154139017198</v>
      </c>
      <c r="M229">
        <f t="shared" si="30"/>
        <v>88.698971827907954</v>
      </c>
    </row>
    <row r="230" spans="4:13" x14ac:dyDescent="0.2">
      <c r="D230">
        <f t="shared" si="24"/>
        <v>120.29037601578563</v>
      </c>
      <c r="E230">
        <f t="shared" si="24"/>
        <v>98.58864114312874</v>
      </c>
      <c r="F230">
        <f t="shared" si="24"/>
        <v>106.76095457608328</v>
      </c>
      <c r="G230">
        <f t="shared" si="24"/>
        <v>100.24808280818897</v>
      </c>
      <c r="H230">
        <f t="shared" si="25"/>
        <v>79.703531177846401</v>
      </c>
      <c r="I230">
        <f t="shared" si="26"/>
        <v>115.01524819810045</v>
      </c>
      <c r="J230">
        <f t="shared" si="27"/>
        <v>93.592426682019379</v>
      </c>
      <c r="K230">
        <f t="shared" si="28"/>
        <v>99.481807778909669</v>
      </c>
      <c r="L230">
        <f t="shared" si="29"/>
        <v>104.23634707366878</v>
      </c>
      <c r="M230">
        <f t="shared" si="30"/>
        <v>86.447106285057302</v>
      </c>
    </row>
    <row r="231" spans="4:13" x14ac:dyDescent="0.2">
      <c r="D231">
        <f t="shared" si="24"/>
        <v>117.92640339904814</v>
      </c>
      <c r="E231">
        <f t="shared" si="24"/>
        <v>99.67491936905229</v>
      </c>
      <c r="F231">
        <f t="shared" si="24"/>
        <v>106.72379879202732</v>
      </c>
      <c r="G231">
        <f t="shared" si="24"/>
        <v>97.781909193496148</v>
      </c>
      <c r="H231">
        <f t="shared" si="25"/>
        <v>79.141928437149559</v>
      </c>
      <c r="I231">
        <f t="shared" si="26"/>
        <v>115.24657606823426</v>
      </c>
      <c r="J231">
        <f t="shared" si="27"/>
        <v>93.11991280392364</v>
      </c>
      <c r="K231">
        <f t="shared" si="28"/>
        <v>99.195645608621945</v>
      </c>
      <c r="L231">
        <f t="shared" si="29"/>
        <v>103.90632268149086</v>
      </c>
      <c r="M231">
        <f t="shared" si="30"/>
        <v>85.361236834667352</v>
      </c>
    </row>
    <row r="232" spans="4:13" x14ac:dyDescent="0.2">
      <c r="D232">
        <f t="shared" si="24"/>
        <v>115.68978769691596</v>
      </c>
      <c r="E232">
        <f t="shared" si="24"/>
        <v>98.345497954783369</v>
      </c>
      <c r="F232">
        <f t="shared" si="24"/>
        <v>109.22435956183463</v>
      </c>
      <c r="G232">
        <f t="shared" si="24"/>
        <v>97.012139585844139</v>
      </c>
      <c r="H232">
        <f t="shared" si="25"/>
        <v>79.961242937956953</v>
      </c>
      <c r="I232">
        <f t="shared" si="26"/>
        <v>117.46888924381339</v>
      </c>
      <c r="J232">
        <f t="shared" si="27"/>
        <v>94.132605002059009</v>
      </c>
      <c r="K232">
        <f t="shared" si="28"/>
        <v>101.1415868630977</v>
      </c>
      <c r="L232">
        <f t="shared" si="29"/>
        <v>103.82136681180653</v>
      </c>
      <c r="M232">
        <f t="shared" si="30"/>
        <v>85.674733130712269</v>
      </c>
    </row>
    <row r="233" spans="4:13" x14ac:dyDescent="0.2">
      <c r="D233">
        <f t="shared" si="24"/>
        <v>115.93651329634562</v>
      </c>
      <c r="E233">
        <f t="shared" si="24"/>
        <v>99.406272063601307</v>
      </c>
      <c r="F233">
        <f t="shared" si="24"/>
        <v>106.61082159742644</v>
      </c>
      <c r="G233">
        <f t="shared" si="24"/>
        <v>98.757043454285125</v>
      </c>
      <c r="H233">
        <f t="shared" si="25"/>
        <v>78.563028304165712</v>
      </c>
      <c r="I233">
        <f t="shared" si="26"/>
        <v>116.53187896192055</v>
      </c>
      <c r="J233">
        <f t="shared" si="27"/>
        <v>94.423339752728708</v>
      </c>
      <c r="K233">
        <f t="shared" si="28"/>
        <v>100.97237523131216</v>
      </c>
      <c r="L233">
        <f t="shared" si="29"/>
        <v>104.62527467278002</v>
      </c>
      <c r="M233">
        <f t="shared" si="30"/>
        <v>86.813958839855317</v>
      </c>
    </row>
    <row r="234" spans="4:13" x14ac:dyDescent="0.2">
      <c r="D234">
        <f t="shared" si="24"/>
        <v>116.26563398655711</v>
      </c>
      <c r="E234">
        <f t="shared" si="24"/>
        <v>98.264287196606176</v>
      </c>
      <c r="F234">
        <f t="shared" si="24"/>
        <v>106.49454270246656</v>
      </c>
      <c r="G234">
        <f t="shared" si="24"/>
        <v>99.851352255150857</v>
      </c>
      <c r="H234">
        <f t="shared" si="25"/>
        <v>77.570118606837013</v>
      </c>
      <c r="I234">
        <f t="shared" si="26"/>
        <v>116.44802574915984</v>
      </c>
      <c r="J234">
        <f t="shared" si="27"/>
        <v>95.012624579010208</v>
      </c>
      <c r="K234">
        <f t="shared" si="28"/>
        <v>100.31323914954091</v>
      </c>
      <c r="L234">
        <f t="shared" si="29"/>
        <v>105.79261512209892</v>
      </c>
      <c r="M234">
        <f t="shared" si="30"/>
        <v>88.159821076997545</v>
      </c>
    </row>
    <row r="235" spans="4:13" x14ac:dyDescent="0.2">
      <c r="D235">
        <f t="shared" si="24"/>
        <v>116.08895187217226</v>
      </c>
      <c r="E235">
        <f t="shared" si="24"/>
        <v>98.645303858398847</v>
      </c>
      <c r="F235">
        <f t="shared" si="24"/>
        <v>104.5178766041317</v>
      </c>
      <c r="G235">
        <f t="shared" si="24"/>
        <v>99.589735596445379</v>
      </c>
      <c r="H235">
        <f t="shared" si="25"/>
        <v>77.816431492201886</v>
      </c>
      <c r="I235">
        <f t="shared" si="26"/>
        <v>115.54859445660654</v>
      </c>
      <c r="J235">
        <f t="shared" si="27"/>
        <v>96.917399456327885</v>
      </c>
      <c r="K235">
        <f t="shared" si="28"/>
        <v>99.203238146186408</v>
      </c>
      <c r="L235">
        <f t="shared" si="29"/>
        <v>107.20628212034175</v>
      </c>
      <c r="M235">
        <f t="shared" si="30"/>
        <v>88.39806737980129</v>
      </c>
    </row>
    <row r="236" spans="4:13" x14ac:dyDescent="0.2">
      <c r="D236">
        <f t="shared" si="24"/>
        <v>115.04981333998099</v>
      </c>
      <c r="E236">
        <f t="shared" si="24"/>
        <v>98.79064824972896</v>
      </c>
      <c r="F236">
        <f t="shared" si="24"/>
        <v>105.2542905595302</v>
      </c>
      <c r="G236">
        <f t="shared" si="24"/>
        <v>99.081039964628516</v>
      </c>
      <c r="H236">
        <f t="shared" si="25"/>
        <v>77.224168468641579</v>
      </c>
      <c r="I236">
        <f t="shared" si="26"/>
        <v>116.46361596809673</v>
      </c>
      <c r="J236">
        <f t="shared" si="27"/>
        <v>96.793653348459841</v>
      </c>
      <c r="K236">
        <f t="shared" si="28"/>
        <v>97.995576747919984</v>
      </c>
      <c r="L236">
        <f t="shared" si="29"/>
        <v>104.90006044590461</v>
      </c>
      <c r="M236">
        <f t="shared" si="30"/>
        <v>87.653674172786737</v>
      </c>
    </row>
    <row r="237" spans="4:13" x14ac:dyDescent="0.2">
      <c r="D237">
        <f t="shared" si="24"/>
        <v>114.24472510575109</v>
      </c>
      <c r="E237">
        <f t="shared" si="24"/>
        <v>98.827831421781397</v>
      </c>
      <c r="F237">
        <f t="shared" si="24"/>
        <v>105.43869603581322</v>
      </c>
      <c r="G237">
        <f t="shared" si="24"/>
        <v>98.925265343430027</v>
      </c>
      <c r="H237">
        <f t="shared" si="25"/>
        <v>76.773805219282281</v>
      </c>
      <c r="I237">
        <f t="shared" si="26"/>
        <v>118.92446310711638</v>
      </c>
      <c r="J237">
        <f t="shared" si="27"/>
        <v>97.356117753542875</v>
      </c>
      <c r="K237">
        <f t="shared" si="28"/>
        <v>96.425452869212805</v>
      </c>
      <c r="L237">
        <f t="shared" si="29"/>
        <v>105.41151727555825</v>
      </c>
      <c r="M237">
        <f t="shared" si="30"/>
        <v>88.541604504137325</v>
      </c>
    </row>
    <row r="238" spans="4:13" x14ac:dyDescent="0.2">
      <c r="D238">
        <f t="shared" si="24"/>
        <v>113.92924322437689</v>
      </c>
      <c r="E238">
        <f t="shared" si="24"/>
        <v>98.713703214934355</v>
      </c>
      <c r="F238">
        <f t="shared" si="24"/>
        <v>107.43568441074041</v>
      </c>
      <c r="G238">
        <f t="shared" si="24"/>
        <v>99.239497070061617</v>
      </c>
      <c r="H238">
        <f t="shared" si="25"/>
        <v>78.086379435955052</v>
      </c>
      <c r="I238">
        <f t="shared" si="26"/>
        <v>118.95127295100959</v>
      </c>
      <c r="J238">
        <f t="shared" si="27"/>
        <v>96.455047289931329</v>
      </c>
      <c r="K238">
        <f t="shared" si="28"/>
        <v>93.409364639172722</v>
      </c>
      <c r="L238">
        <f t="shared" si="29"/>
        <v>104.13282276426089</v>
      </c>
      <c r="M238">
        <f t="shared" si="30"/>
        <v>87.122214452885828</v>
      </c>
    </row>
    <row r="239" spans="4:13" x14ac:dyDescent="0.2">
      <c r="D239">
        <f t="shared" si="24"/>
        <v>114.94799771968336</v>
      </c>
      <c r="E239">
        <f t="shared" si="24"/>
        <v>96.453941511277534</v>
      </c>
      <c r="F239">
        <f t="shared" si="24"/>
        <v>108.64064903651838</v>
      </c>
      <c r="G239">
        <f t="shared" si="24"/>
        <v>100.80470138763286</v>
      </c>
      <c r="H239">
        <f t="shared" si="25"/>
        <v>78.77186580268588</v>
      </c>
      <c r="I239">
        <f t="shared" si="26"/>
        <v>116.87040235847849</v>
      </c>
      <c r="J239">
        <f t="shared" si="27"/>
        <v>96.238480890667418</v>
      </c>
      <c r="K239">
        <f t="shared" si="28"/>
        <v>94.040857463139176</v>
      </c>
      <c r="L239">
        <f t="shared" si="29"/>
        <v>105.98141297560689</v>
      </c>
      <c r="M239">
        <f t="shared" si="30"/>
        <v>86.786465964570468</v>
      </c>
    </row>
    <row r="240" spans="4:13" x14ac:dyDescent="0.2">
      <c r="D240">
        <f t="shared" si="24"/>
        <v>112.21064286632394</v>
      </c>
      <c r="E240">
        <f t="shared" si="24"/>
        <v>96.841074286150899</v>
      </c>
      <c r="F240">
        <f t="shared" si="24"/>
        <v>107.91202184385939</v>
      </c>
      <c r="G240">
        <f t="shared" si="24"/>
        <v>100.36197297524527</v>
      </c>
      <c r="H240">
        <f t="shared" si="25"/>
        <v>78.69098005064221</v>
      </c>
      <c r="I240">
        <f t="shared" si="26"/>
        <v>116.12362295180324</v>
      </c>
      <c r="J240">
        <f t="shared" si="27"/>
        <v>96.581045927125189</v>
      </c>
      <c r="K240">
        <f t="shared" si="28"/>
        <v>91.334659193807767</v>
      </c>
      <c r="L240">
        <f t="shared" si="29"/>
        <v>106.91187085642694</v>
      </c>
      <c r="M240">
        <f t="shared" si="30"/>
        <v>86.662536472160582</v>
      </c>
    </row>
    <row r="241" spans="4:13" x14ac:dyDescent="0.2">
      <c r="D241">
        <f t="shared" si="24"/>
        <v>112.58042425418201</v>
      </c>
      <c r="E241">
        <f t="shared" si="24"/>
        <v>95.822834081582812</v>
      </c>
      <c r="F241">
        <f t="shared" si="24"/>
        <v>107.65044537736449</v>
      </c>
      <c r="G241">
        <f t="shared" si="24"/>
        <v>100.63904759132774</v>
      </c>
      <c r="H241">
        <f t="shared" si="25"/>
        <v>77.372254579800966</v>
      </c>
      <c r="I241">
        <f t="shared" si="26"/>
        <v>115.97525235290689</v>
      </c>
      <c r="J241">
        <f t="shared" si="27"/>
        <v>96.551644107634544</v>
      </c>
      <c r="K241">
        <f t="shared" si="28"/>
        <v>90.690928571469698</v>
      </c>
      <c r="L241">
        <f t="shared" si="29"/>
        <v>106.55651906868604</v>
      </c>
      <c r="M241">
        <f t="shared" si="30"/>
        <v>88.0770766711547</v>
      </c>
    </row>
    <row r="242" spans="4:13" x14ac:dyDescent="0.2">
      <c r="D242">
        <f t="shared" si="24"/>
        <v>110.15589685412468</v>
      </c>
      <c r="E242">
        <f t="shared" si="24"/>
        <v>96.418239566174236</v>
      </c>
      <c r="F242">
        <f t="shared" si="24"/>
        <v>106.63657547547388</v>
      </c>
      <c r="G242">
        <f t="shared" si="24"/>
        <v>102.41547152746833</v>
      </c>
      <c r="H242">
        <f t="shared" si="25"/>
        <v>76.301637831040154</v>
      </c>
      <c r="I242">
        <f t="shared" si="26"/>
        <v>114.37544646590086</v>
      </c>
      <c r="J242">
        <f t="shared" si="27"/>
        <v>96.31140619385755</v>
      </c>
      <c r="K242">
        <f t="shared" si="28"/>
        <v>89.785497449756036</v>
      </c>
      <c r="L242">
        <f t="shared" si="29"/>
        <v>106.50721612585659</v>
      </c>
      <c r="M242">
        <f t="shared" si="30"/>
        <v>88.815364991370785</v>
      </c>
    </row>
    <row r="243" spans="4:13" x14ac:dyDescent="0.2">
      <c r="D243">
        <f t="shared" si="24"/>
        <v>109.86639689713098</v>
      </c>
      <c r="E243">
        <f t="shared" si="24"/>
        <v>96.2865173278865</v>
      </c>
      <c r="F243">
        <f t="shared" si="24"/>
        <v>105.88810724919112</v>
      </c>
      <c r="G243">
        <f t="shared" si="24"/>
        <v>101.93803353590337</v>
      </c>
      <c r="H243">
        <f t="shared" si="25"/>
        <v>75.575192240594774</v>
      </c>
      <c r="I243">
        <f t="shared" si="26"/>
        <v>115.46095841188928</v>
      </c>
      <c r="J243">
        <f t="shared" si="27"/>
        <v>94.421744031379347</v>
      </c>
      <c r="K243">
        <f t="shared" si="28"/>
        <v>89.861295899216898</v>
      </c>
      <c r="L243">
        <f t="shared" si="29"/>
        <v>107.73684216913978</v>
      </c>
      <c r="M243">
        <f t="shared" si="30"/>
        <v>88.445498104926187</v>
      </c>
    </row>
    <row r="244" spans="4:13" x14ac:dyDescent="0.2">
      <c r="D244">
        <f t="shared" si="24"/>
        <v>109.86308463261611</v>
      </c>
      <c r="E244">
        <f t="shared" si="24"/>
        <v>95.047577632103739</v>
      </c>
      <c r="F244">
        <f t="shared" si="24"/>
        <v>107.73485494149355</v>
      </c>
      <c r="G244">
        <f t="shared" si="24"/>
        <v>101.58159692683346</v>
      </c>
      <c r="H244">
        <f t="shared" si="25"/>
        <v>77.177643407757344</v>
      </c>
      <c r="I244">
        <f t="shared" si="26"/>
        <v>118.16995849901399</v>
      </c>
      <c r="J244">
        <f t="shared" si="27"/>
        <v>94.043214402491515</v>
      </c>
      <c r="K244">
        <f t="shared" si="28"/>
        <v>91.078198006633002</v>
      </c>
      <c r="L244">
        <f t="shared" si="29"/>
        <v>106.86241079651622</v>
      </c>
      <c r="M244">
        <f t="shared" si="30"/>
        <v>88.205062606448053</v>
      </c>
    </row>
    <row r="245" spans="4:13" x14ac:dyDescent="0.2">
      <c r="D245">
        <f t="shared" si="24"/>
        <v>110.94577296194343</v>
      </c>
      <c r="E245">
        <f t="shared" si="24"/>
        <v>95.653520177911176</v>
      </c>
      <c r="F245">
        <f t="shared" si="24"/>
        <v>105.65691904622058</v>
      </c>
      <c r="G245">
        <f t="shared" si="24"/>
        <v>102.42347663972615</v>
      </c>
      <c r="H245">
        <f t="shared" si="25"/>
        <v>79.007836600602374</v>
      </c>
      <c r="I245">
        <f t="shared" si="26"/>
        <v>119.48933133993057</v>
      </c>
      <c r="J245">
        <f t="shared" si="27"/>
        <v>92.636389542502528</v>
      </c>
      <c r="K245">
        <f t="shared" si="28"/>
        <v>91.642540167497117</v>
      </c>
      <c r="L245">
        <f t="shared" si="29"/>
        <v>105.58887759112682</v>
      </c>
      <c r="M245">
        <f t="shared" si="30"/>
        <v>85.942132060887943</v>
      </c>
    </row>
    <row r="246" spans="4:13" x14ac:dyDescent="0.2">
      <c r="D246">
        <f t="shared" si="24"/>
        <v>110.32970557973974</v>
      </c>
      <c r="E246">
        <f t="shared" si="24"/>
        <v>97.674235255667782</v>
      </c>
      <c r="F246">
        <f t="shared" si="24"/>
        <v>104.65060884613609</v>
      </c>
      <c r="G246">
        <f t="shared" si="24"/>
        <v>102.58968828167583</v>
      </c>
      <c r="H246">
        <f t="shared" si="25"/>
        <v>78.949018140334374</v>
      </c>
      <c r="I246">
        <f t="shared" si="26"/>
        <v>119.61562007939409</v>
      </c>
      <c r="J246">
        <f t="shared" si="27"/>
        <v>90.705253485354859</v>
      </c>
      <c r="K246">
        <f t="shared" si="28"/>
        <v>91.108183288287734</v>
      </c>
      <c r="L246">
        <f t="shared" si="29"/>
        <v>103.76290149581835</v>
      </c>
      <c r="M246">
        <f t="shared" si="30"/>
        <v>87.14084844840302</v>
      </c>
    </row>
    <row r="247" spans="4:13" x14ac:dyDescent="0.2">
      <c r="D247">
        <f t="shared" si="24"/>
        <v>109.13469956854607</v>
      </c>
      <c r="E247">
        <f t="shared" si="24"/>
        <v>98.520701632366624</v>
      </c>
      <c r="F247">
        <f t="shared" si="24"/>
        <v>106.79789653927088</v>
      </c>
      <c r="G247">
        <f t="shared" si="24"/>
        <v>103.63975315562159</v>
      </c>
      <c r="H247">
        <f t="shared" si="25"/>
        <v>79.845915304314119</v>
      </c>
      <c r="I247">
        <f t="shared" si="26"/>
        <v>121.44124248082174</v>
      </c>
      <c r="J247">
        <f t="shared" si="27"/>
        <v>90.61947005103535</v>
      </c>
      <c r="K247">
        <f t="shared" si="28"/>
        <v>89.685627978159943</v>
      </c>
      <c r="L247">
        <f t="shared" si="29"/>
        <v>104.40822758736093</v>
      </c>
      <c r="M247">
        <f t="shared" si="30"/>
        <v>87.490010117169589</v>
      </c>
    </row>
    <row r="248" spans="4:13" x14ac:dyDescent="0.2">
      <c r="D248">
        <f t="shared" si="24"/>
        <v>110.19518922814294</v>
      </c>
      <c r="E248">
        <f t="shared" si="24"/>
        <v>97.815411266452998</v>
      </c>
      <c r="F248">
        <f t="shared" si="24"/>
        <v>108.38333209290964</v>
      </c>
      <c r="G248">
        <f t="shared" si="24"/>
        <v>100.7745318658132</v>
      </c>
      <c r="H248">
        <f t="shared" si="25"/>
        <v>78.515835913932506</v>
      </c>
      <c r="I248">
        <f t="shared" si="26"/>
        <v>120.98161373017592</v>
      </c>
      <c r="J248">
        <f t="shared" si="27"/>
        <v>89.288385422722286</v>
      </c>
      <c r="K248">
        <f t="shared" si="28"/>
        <v>89.653179258440332</v>
      </c>
      <c r="L248">
        <f t="shared" si="29"/>
        <v>105.48609264377903</v>
      </c>
      <c r="M248">
        <f t="shared" si="30"/>
        <v>87.457082784483063</v>
      </c>
    </row>
    <row r="249" spans="4:13" x14ac:dyDescent="0.2">
      <c r="D249">
        <f t="shared" si="24"/>
        <v>109.20016373483105</v>
      </c>
      <c r="E249">
        <f t="shared" si="24"/>
        <v>97.750820322160564</v>
      </c>
      <c r="F249">
        <f t="shared" si="24"/>
        <v>109.00412455572508</v>
      </c>
      <c r="G249">
        <f t="shared" si="24"/>
        <v>100.18866641854555</v>
      </c>
      <c r="H249">
        <f t="shared" si="25"/>
        <v>76.134979897319411</v>
      </c>
      <c r="I249">
        <f t="shared" si="26"/>
        <v>119.05230679145146</v>
      </c>
      <c r="J249">
        <f t="shared" si="27"/>
        <v>90.015560944228994</v>
      </c>
      <c r="K249">
        <f t="shared" si="28"/>
        <v>92.007754278288417</v>
      </c>
      <c r="L249">
        <f t="shared" si="29"/>
        <v>104.30974913472889</v>
      </c>
      <c r="M249">
        <f t="shared" si="30"/>
        <v>86.318137859573596</v>
      </c>
    </row>
    <row r="250" spans="4:13" x14ac:dyDescent="0.2">
      <c r="D250">
        <f t="shared" si="24"/>
        <v>110.82745374166969</v>
      </c>
      <c r="E250">
        <f t="shared" si="24"/>
        <v>98.87211345744447</v>
      </c>
      <c r="F250">
        <f t="shared" si="24"/>
        <v>108.47842712805559</v>
      </c>
      <c r="G250">
        <f t="shared" si="24"/>
        <v>97.201802008123693</v>
      </c>
      <c r="H250">
        <f t="shared" si="25"/>
        <v>76.417893924025179</v>
      </c>
      <c r="I250">
        <f t="shared" si="26"/>
        <v>119.90057792725821</v>
      </c>
      <c r="J250">
        <f t="shared" si="27"/>
        <v>90.04617004590753</v>
      </c>
      <c r="K250">
        <f t="shared" si="28"/>
        <v>92.623153182126387</v>
      </c>
      <c r="L250">
        <f t="shared" si="29"/>
        <v>103.77701611541757</v>
      </c>
      <c r="M250">
        <f t="shared" si="30"/>
        <v>86.73048296326688</v>
      </c>
    </row>
    <row r="251" spans="4:13" x14ac:dyDescent="0.2">
      <c r="D251">
        <f t="shared" si="24"/>
        <v>111.13375486528615</v>
      </c>
      <c r="E251">
        <f t="shared" si="24"/>
        <v>99.535542812225103</v>
      </c>
      <c r="F251">
        <f t="shared" si="24"/>
        <v>108.24847676667913</v>
      </c>
      <c r="G251">
        <f t="shared" si="24"/>
        <v>95.59320532953889</v>
      </c>
      <c r="H251">
        <f t="shared" si="25"/>
        <v>77.554043353024582</v>
      </c>
      <c r="I251">
        <f t="shared" si="26"/>
        <v>119.79924456517136</v>
      </c>
      <c r="J251">
        <f t="shared" si="27"/>
        <v>90.830941596782012</v>
      </c>
      <c r="K251">
        <f t="shared" si="28"/>
        <v>93.767002439224726</v>
      </c>
      <c r="L251">
        <f t="shared" si="29"/>
        <v>102.67508326284414</v>
      </c>
      <c r="M251">
        <f t="shared" si="30"/>
        <v>85.924208201875658</v>
      </c>
    </row>
    <row r="252" spans="4:13" x14ac:dyDescent="0.2">
      <c r="D252">
        <f t="shared" si="24"/>
        <v>112.72363515675444</v>
      </c>
      <c r="E252">
        <f t="shared" si="24"/>
        <v>99.963371782684163</v>
      </c>
      <c r="F252">
        <f t="shared" si="24"/>
        <v>108.15383550324295</v>
      </c>
      <c r="G252">
        <f t="shared" si="24"/>
        <v>95.132122462377453</v>
      </c>
      <c r="H252">
        <f t="shared" si="25"/>
        <v>75.035547377436444</v>
      </c>
      <c r="I252">
        <f t="shared" si="26"/>
        <v>119.64037444080114</v>
      </c>
      <c r="J252">
        <f t="shared" si="27"/>
        <v>90.395472265050287</v>
      </c>
      <c r="K252">
        <f t="shared" si="28"/>
        <v>93.955578500324364</v>
      </c>
      <c r="L252">
        <f t="shared" si="29"/>
        <v>104.084476560797</v>
      </c>
      <c r="M252">
        <f t="shared" si="30"/>
        <v>84.393564870900775</v>
      </c>
    </row>
    <row r="253" spans="4:13" x14ac:dyDescent="0.2">
      <c r="D253">
        <f t="shared" si="24"/>
        <v>115.65714173874171</v>
      </c>
      <c r="E253">
        <f t="shared" si="24"/>
        <v>98.531725699786719</v>
      </c>
      <c r="F253">
        <f t="shared" si="24"/>
        <v>110.52448877745593</v>
      </c>
      <c r="G253">
        <f t="shared" si="24"/>
        <v>94.647830936990573</v>
      </c>
      <c r="H253">
        <f t="shared" si="25"/>
        <v>74.485824703268918</v>
      </c>
      <c r="I253">
        <f t="shared" si="26"/>
        <v>119.01797676552412</v>
      </c>
      <c r="J253">
        <f t="shared" si="27"/>
        <v>89.169095165152214</v>
      </c>
      <c r="K253">
        <f t="shared" si="28"/>
        <v>94.764066499597405</v>
      </c>
      <c r="L253">
        <f t="shared" si="29"/>
        <v>104.01024107280287</v>
      </c>
      <c r="M253">
        <f t="shared" si="30"/>
        <v>85.218822444732751</v>
      </c>
    </row>
    <row r="254" spans="4:13" x14ac:dyDescent="0.2">
      <c r="D254">
        <f t="shared" si="24"/>
        <v>113.29868124574696</v>
      </c>
      <c r="E254">
        <f t="shared" si="24"/>
        <v>97.856365962380877</v>
      </c>
      <c r="F254">
        <f t="shared" si="24"/>
        <v>110.33764695562273</v>
      </c>
      <c r="G254">
        <f t="shared" si="24"/>
        <v>94.724046005588249</v>
      </c>
      <c r="H254">
        <f t="shared" si="25"/>
        <v>75.768251440574602</v>
      </c>
      <c r="I254">
        <f t="shared" si="26"/>
        <v>117.14256210555308</v>
      </c>
      <c r="J254">
        <f t="shared" si="27"/>
        <v>89.576086554622549</v>
      </c>
      <c r="K254">
        <f t="shared" si="28"/>
        <v>97.81803615055594</v>
      </c>
      <c r="L254">
        <f t="shared" si="29"/>
        <v>106.29646350842722</v>
      </c>
      <c r="M254">
        <f t="shared" si="30"/>
        <v>85.511252019873936</v>
      </c>
    </row>
    <row r="255" spans="4:13" x14ac:dyDescent="0.2">
      <c r="D255">
        <f t="shared" si="24"/>
        <v>113.23903204886808</v>
      </c>
      <c r="E255">
        <f t="shared" si="24"/>
        <v>99.887508283825468</v>
      </c>
      <c r="F255">
        <f t="shared" si="24"/>
        <v>113.1987719220169</v>
      </c>
      <c r="G255">
        <f t="shared" si="24"/>
        <v>93.49862605798161</v>
      </c>
      <c r="H255">
        <f t="shared" si="25"/>
        <v>74.627126860542575</v>
      </c>
      <c r="I255">
        <f t="shared" si="26"/>
        <v>117.10405777868745</v>
      </c>
      <c r="J255">
        <f t="shared" si="27"/>
        <v>91.469698232405577</v>
      </c>
      <c r="K255">
        <f t="shared" si="28"/>
        <v>98.99043768848108</v>
      </c>
      <c r="L255">
        <f t="shared" si="29"/>
        <v>105.12139281143604</v>
      </c>
      <c r="M255">
        <f t="shared" si="30"/>
        <v>83.942515423181973</v>
      </c>
    </row>
    <row r="256" spans="4:13" x14ac:dyDescent="0.2">
      <c r="D256">
        <f t="shared" si="24"/>
        <v>115.58472196148743</v>
      </c>
      <c r="E256">
        <f t="shared" si="24"/>
        <v>101.08385220618146</v>
      </c>
      <c r="F256">
        <f t="shared" si="24"/>
        <v>113.108374643301</v>
      </c>
      <c r="G256">
        <f t="shared" si="24"/>
        <v>92.59906542562149</v>
      </c>
      <c r="H256">
        <f t="shared" si="25"/>
        <v>74.634039006258007</v>
      </c>
      <c r="I256">
        <f t="shared" si="26"/>
        <v>116.76711522741843</v>
      </c>
      <c r="J256">
        <f t="shared" si="27"/>
        <v>90.669606304724709</v>
      </c>
      <c r="K256">
        <f t="shared" si="28"/>
        <v>99.548527210280014</v>
      </c>
      <c r="L256">
        <f t="shared" si="29"/>
        <v>105.75433230297655</v>
      </c>
      <c r="M256">
        <f t="shared" si="30"/>
        <v>84.74623270830115</v>
      </c>
    </row>
    <row r="257" spans="4:13" x14ac:dyDescent="0.2">
      <c r="D257">
        <f t="shared" si="24"/>
        <v>115.05857313336959</v>
      </c>
      <c r="E257">
        <f t="shared" si="24"/>
        <v>99.306805597414936</v>
      </c>
      <c r="F257">
        <f t="shared" si="24"/>
        <v>112.55295118288326</v>
      </c>
      <c r="G257">
        <f t="shared" si="24"/>
        <v>92.684979519416487</v>
      </c>
      <c r="H257">
        <f t="shared" si="25"/>
        <v>75.224951232011151</v>
      </c>
      <c r="I257">
        <f t="shared" si="26"/>
        <v>116.44900015322621</v>
      </c>
      <c r="J257">
        <f t="shared" si="27"/>
        <v>90.028980566211445</v>
      </c>
      <c r="K257">
        <f t="shared" si="28"/>
        <v>99.312640730225027</v>
      </c>
      <c r="L257">
        <f t="shared" si="29"/>
        <v>107.94019812272094</v>
      </c>
      <c r="M257">
        <f t="shared" si="30"/>
        <v>87.628355310330704</v>
      </c>
    </row>
    <row r="258" spans="4:13" x14ac:dyDescent="0.2">
      <c r="D258">
        <f t="shared" si="24"/>
        <v>115.39847400572036</v>
      </c>
      <c r="E258">
        <f t="shared" si="24"/>
        <v>99.153898245213199</v>
      </c>
      <c r="F258">
        <f t="shared" si="24"/>
        <v>115.27370544898785</v>
      </c>
      <c r="G258">
        <f t="shared" si="24"/>
        <v>92.090609415387505</v>
      </c>
      <c r="H258">
        <f t="shared" si="25"/>
        <v>75.028113196503554</v>
      </c>
      <c r="I258">
        <f t="shared" si="26"/>
        <v>116.0444055174746</v>
      </c>
      <c r="J258">
        <f t="shared" si="27"/>
        <v>91.437445387019594</v>
      </c>
      <c r="K258">
        <f t="shared" si="28"/>
        <v>98.724857923370848</v>
      </c>
      <c r="L258">
        <f t="shared" si="29"/>
        <v>107.28166714405528</v>
      </c>
      <c r="M258">
        <f t="shared" si="30"/>
        <v>85.562859340588389</v>
      </c>
    </row>
    <row r="259" spans="4:13" x14ac:dyDescent="0.2">
      <c r="D259">
        <f t="shared" si="24"/>
        <v>115.7026105606602</v>
      </c>
      <c r="E259">
        <f t="shared" si="24"/>
        <v>100.5251578101776</v>
      </c>
      <c r="F259">
        <f t="shared" si="24"/>
        <v>112.26450405748375</v>
      </c>
      <c r="G259">
        <f t="shared" si="24"/>
        <v>91.882682468570081</v>
      </c>
      <c r="H259">
        <f t="shared" si="25"/>
        <v>75.859451760863777</v>
      </c>
      <c r="I259">
        <f t="shared" si="26"/>
        <v>113.23451712162429</v>
      </c>
      <c r="J259">
        <f t="shared" si="27"/>
        <v>91.891013300926033</v>
      </c>
      <c r="K259">
        <f t="shared" si="28"/>
        <v>99.278687448808867</v>
      </c>
      <c r="L259">
        <f t="shared" si="29"/>
        <v>107.64461389598131</v>
      </c>
      <c r="M259">
        <f t="shared" si="30"/>
        <v>85.624976293699859</v>
      </c>
    </row>
    <row r="260" spans="4:13" x14ac:dyDescent="0.2">
      <c r="D260">
        <f t="shared" si="24"/>
        <v>114.24897430228295</v>
      </c>
      <c r="E260">
        <f t="shared" si="24"/>
        <v>101.32219336303153</v>
      </c>
      <c r="F260">
        <f t="shared" si="24"/>
        <v>108.84284435836561</v>
      </c>
      <c r="G260">
        <f t="shared" si="24"/>
        <v>93.688134623891585</v>
      </c>
      <c r="H260">
        <f t="shared" si="25"/>
        <v>76.906712194500457</v>
      </c>
      <c r="I260">
        <f t="shared" si="26"/>
        <v>111.25621785169133</v>
      </c>
      <c r="J260">
        <f t="shared" si="27"/>
        <v>92.267607947337709</v>
      </c>
      <c r="K260">
        <f t="shared" si="28"/>
        <v>99.575612368374053</v>
      </c>
      <c r="L260">
        <f t="shared" si="29"/>
        <v>108.40068482790115</v>
      </c>
      <c r="M260">
        <f t="shared" si="30"/>
        <v>84.634773745997308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C14"/>
  <sheetViews>
    <sheetView workbookViewId="0">
      <selection activeCell="B2" sqref="B2:C9"/>
    </sheetView>
  </sheetViews>
  <sheetFormatPr baseColWidth="10" defaultRowHeight="15" x14ac:dyDescent="0.2"/>
  <sheetData>
    <row r="2" spans="2:3" x14ac:dyDescent="0.2">
      <c r="B2" t="s">
        <v>2</v>
      </c>
      <c r="C2">
        <v>100</v>
      </c>
    </row>
    <row r="3" spans="2:3" x14ac:dyDescent="0.2">
      <c r="B3" t="s">
        <v>0</v>
      </c>
      <c r="C3">
        <v>0.05</v>
      </c>
    </row>
    <row r="4" spans="2:3" x14ac:dyDescent="0.2">
      <c r="B4" t="s">
        <v>1</v>
      </c>
      <c r="C4">
        <v>0.2</v>
      </c>
    </row>
    <row r="5" spans="2:3" x14ac:dyDescent="0.2">
      <c r="B5" t="s">
        <v>6</v>
      </c>
      <c r="C5">
        <v>80</v>
      </c>
    </row>
    <row r="6" spans="2:3" x14ac:dyDescent="0.2">
      <c r="B6" t="s">
        <v>7</v>
      </c>
      <c r="C6">
        <v>60</v>
      </c>
    </row>
    <row r="7" spans="2:3" x14ac:dyDescent="0.2">
      <c r="B7" t="s">
        <v>4</v>
      </c>
      <c r="C7">
        <v>1</v>
      </c>
    </row>
    <row r="8" spans="2:3" x14ac:dyDescent="0.2">
      <c r="B8" t="s">
        <v>3</v>
      </c>
      <c r="C8">
        <v>252</v>
      </c>
    </row>
    <row r="9" spans="2:3" x14ac:dyDescent="0.2">
      <c r="B9" t="s">
        <v>8</v>
      </c>
      <c r="C9">
        <v>10</v>
      </c>
    </row>
    <row r="11" spans="2:3" x14ac:dyDescent="0.2">
      <c r="B11" s="1" t="s">
        <v>9</v>
      </c>
      <c r="C11" s="2">
        <f>DOC($C$2,$C$3,$C$4,$C$5,$C$6,$C$7,$C$8,$C$9)</f>
        <v>33.855567823959255</v>
      </c>
    </row>
    <row r="12" spans="2:3" x14ac:dyDescent="0.2">
      <c r="B12" t="s">
        <v>6</v>
      </c>
      <c r="C12">
        <v>120</v>
      </c>
    </row>
    <row r="13" spans="2:3" x14ac:dyDescent="0.2">
      <c r="B13" t="s">
        <v>7</v>
      </c>
      <c r="C13">
        <v>110</v>
      </c>
    </row>
    <row r="14" spans="2:3" x14ac:dyDescent="0.2">
      <c r="B14" s="1" t="s">
        <v>10</v>
      </c>
      <c r="C14" s="2">
        <f>UIP($C$2,$C$3,$C$4,$C$12,$C$13,$C$7,$C$8,$C$9)</f>
        <v>12.570951929456417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0AC6F-617A-4FA7-B92F-A04E62B74D37}">
  <sheetPr codeName="Feuil3"/>
  <dimension ref="B3:C11"/>
  <sheetViews>
    <sheetView tabSelected="1" workbookViewId="0">
      <selection activeCell="C10" sqref="C10"/>
    </sheetView>
  </sheetViews>
  <sheetFormatPr baseColWidth="10" defaultRowHeight="15" x14ac:dyDescent="0.2"/>
  <cols>
    <col min="2" max="2" width="18.5" customWidth="1"/>
  </cols>
  <sheetData>
    <row r="3" spans="2:3" x14ac:dyDescent="0.2">
      <c r="B3" t="s">
        <v>2</v>
      </c>
      <c r="C3">
        <v>100</v>
      </c>
    </row>
    <row r="4" spans="2:3" x14ac:dyDescent="0.2">
      <c r="B4" t="s">
        <v>0</v>
      </c>
      <c r="C4">
        <v>0.05</v>
      </c>
    </row>
    <row r="5" spans="2:3" x14ac:dyDescent="0.2">
      <c r="B5" t="s">
        <v>1</v>
      </c>
      <c r="C5">
        <v>0.2</v>
      </c>
    </row>
    <row r="6" spans="2:3" x14ac:dyDescent="0.2">
      <c r="B6" t="s">
        <v>4</v>
      </c>
      <c r="C6">
        <v>1</v>
      </c>
    </row>
    <row r="7" spans="2:3" x14ac:dyDescent="0.2">
      <c r="B7" t="s">
        <v>3</v>
      </c>
      <c r="C7">
        <v>252</v>
      </c>
    </row>
    <row r="8" spans="2:3" x14ac:dyDescent="0.2">
      <c r="B8" t="s">
        <v>8</v>
      </c>
      <c r="C8">
        <v>1000</v>
      </c>
    </row>
    <row r="10" spans="2:3" x14ac:dyDescent="0.2">
      <c r="B10" t="s">
        <v>11</v>
      </c>
      <c r="C10" cm="1">
        <f t="array" ref="C10">LCall(C3,C4,C5,C6,C7,C8)</f>
        <v>16.706888091024705</v>
      </c>
    </row>
    <row r="11" spans="2:3" x14ac:dyDescent="0.2">
      <c r="B11" t="s">
        <v>12</v>
      </c>
      <c r="C11" cm="1">
        <f t="array" ref="C11">LPut(C3,C4,C5,C6,C7,C8)</f>
        <v>14.111136725858209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Trajectoires</vt:lpstr>
      <vt:lpstr>DOC</vt:lpstr>
      <vt:lpstr>Lookback</vt:lpstr>
      <vt:lpstr>Graphique1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COURTOIS Olivier</dc:creator>
  <cp:lastModifiedBy>Microsoft Office User</cp:lastModifiedBy>
  <dcterms:created xsi:type="dcterms:W3CDTF">2016-02-10T13:14:06Z</dcterms:created>
  <dcterms:modified xsi:type="dcterms:W3CDTF">2022-05-23T12:38:54Z</dcterms:modified>
</cp:coreProperties>
</file>